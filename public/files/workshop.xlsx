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راهنما" sheetId="1" state="visible" r:id="rId1"/>
    <sheet name="Dashboard" sheetId="2" state="visible" r:id="rId2"/>
    <sheet name="تنظیمات" sheetId="3" state="visible" r:id="rId3"/>
    <sheet name="Purchases" sheetId="4" state="visible" r:id="rId4"/>
    <sheet name="Inventory" sheetId="5" state="visible" r:id="rId5"/>
    <sheet name="Production" sheetId="6" state="visible" r:id="rId6"/>
    <sheet name="Sales" sheetId="7" state="visible" r:id="rId7"/>
    <sheet name="Customers" sheetId="8" state="visible" r:id="rId8"/>
    <sheet name="SalesRep" sheetId="9" state="visible" r:id="rId9"/>
    <sheet name="Expenses" sheetId="10" state="visible" r:id="rId10"/>
    <sheet name="Suppliers" sheetId="11" state="visible" r:id="rId11"/>
    <sheet name="Employees" sheetId="12" state="visible" r:id="rId12"/>
    <sheet name="گزارش" sheetId="13" state="visible" r:id="rId13"/>
    <sheet name="فرم دریافت" sheetId="14" state="visible" r:id="rId14"/>
    <sheet name="فرم تولید" sheetId="15" state="visible" r:id="rId15"/>
    <sheet name="فرم تحویل پخش" sheetId="16" state="visible" r:id="rId16"/>
    <sheet name="فرم ویزیت" sheetId="17" state="visible" r:id="rId17"/>
    <sheet name="فرم خروج کالا" sheetId="18" state="visible" r:id="rId18"/>
    <sheet name="فرم شمارش" sheetId="19" state="visible" r:id="rId19"/>
    <sheet name="فرم هزینه" sheetId="20" state="visible" r:id="rId20"/>
    <sheet name="فرم ارزیابی تأمین" sheetId="21" state="visible" r:id="rId21"/>
    <sheet name="Lists" sheetId="22" state="hidden" r:id="rId22"/>
  </sheets>
  <definedNames>
    <definedName name="ProductsList">Lists!$A$2:$A$8</definedName>
    <definedName name="PacksList">Lists!$B$2:$B$4</definedName>
    <definedName name="QualityList">Lists!$C$2:$C$5</definedName>
    <definedName name="ApprovalList">Lists!$D$2:$D$4</definedName>
    <definedName name="CustTypeList">Lists!$E$2:$E$6</definedName>
    <definedName name="ABCList">Lists!$F$2:$F$4</definedName>
    <definedName name="CustStatusList">Lists!$G$2:$G$4</definedName>
    <definedName name="ExpenseList">Lists!$H$2:$H$11</definedName>
    <definedName name="PayList">Lists!$I$2:$I$5</definedName>
    <definedName name="CityList">Lists!$J$2:$J$9</definedName>
    <definedName name="LocList">Lists!$K$2:$K$5</definedName>
    <definedName name="InvKindList">Lists!$L$2:$L$3</definedName>
    <definedName name="UnitList">Lists!$M$2:$M$3</definedName>
    <definedName name="RoleList">Lists!$N$2:$N$7</definedName>
    <definedName name="EmpStatusList">Lists!$O$2:$O$3</definedName>
    <definedName name="RegionList">Lists!$P$2:$P$7</definedName>
    <definedName name="StaffList">Lists!$R$2:$R$21</definedName>
    <definedName name="SupplierNames">Suppliers!$A$2:$A$151</definedName>
    <definedName name="CustomerNames">Customers!$A$2:$A$151</definedName>
    <definedName name="CurrentYear">تنظیمات!$B$2</definedName>
    <definedName name="CurrentMonth">تنظیمات!$B$3</definedName>
    <definedName name="TodayShamsi">تنظیمات!$B$4</definedName>
    <definedName name="_xlnm.Print_Area" localSheetId="1">'Dashboard'!$A$1:$G$42</definedName>
    <definedName name="_xlnm._FilterDatabase" localSheetId="3" hidden="1">'Purchases'!$A$3:$N$151</definedName>
    <definedName name="_xlnm._FilterDatabase" localSheetId="5" hidden="1">'Production'!$A$3:$N$151</definedName>
    <definedName name="_xlnm._FilterDatabase" localSheetId="6" hidden="1">'Sales'!$A$3:$Q$151</definedName>
    <definedName name="_xlnm._FilterDatabase" localSheetId="7" hidden="1">'Customers'!$A$3:$L$151</definedName>
    <definedName name="_xlnm._FilterDatabase" localSheetId="8" hidden="1">'SalesRep'!$A$3:$P$151</definedName>
    <definedName name="_xlnm._FilterDatabase" localSheetId="9" hidden="1">'Expenses'!$A$3:$I$151</definedName>
    <definedName name="_xlnm._FilterDatabase" localSheetId="10" hidden="1">'Suppliers'!$A$3:$P$151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i val="1"/>
      <color rgb="00FFFFFF"/>
      <sz val="10"/>
    </font>
    <font>
      <name val="Tahoma"/>
      <b val="1"/>
      <color rgb="00FFFFFF"/>
      <sz val="9"/>
    </font>
    <font>
      <name val="Tahoma"/>
      <color rgb="00241F18"/>
      <sz val="9"/>
    </font>
    <font>
      <name val="Tahoma"/>
      <b val="1"/>
      <color rgb="00241F18"/>
      <sz val="9"/>
    </font>
    <font>
      <name val="Tahoma"/>
      <i val="1"/>
      <color rgb="006B6256"/>
      <sz val="8"/>
    </font>
    <font>
      <name val="Tahoma"/>
      <color rgb="00241F18"/>
      <sz val="8"/>
    </font>
    <font>
      <name val="Tahoma"/>
      <b val="1"/>
      <color rgb="000F5132"/>
      <sz val="10"/>
    </font>
    <font>
      <name val="Tahoma"/>
      <b val="1"/>
      <color rgb="00664D03"/>
      <sz val="10"/>
    </font>
    <font>
      <name val="Tahoma"/>
      <b val="1"/>
      <color rgb="00842029"/>
      <sz val="10"/>
    </font>
    <font>
      <name val="Tahoma"/>
      <b val="1"/>
      <color rgb="00222222"/>
      <sz val="10"/>
    </font>
    <font>
      <name val="Tahoma"/>
      <b val="1"/>
      <color rgb="00222222"/>
      <sz val="16"/>
    </font>
    <font>
      <name val="Tahoma"/>
      <color rgb="00222222"/>
      <sz val="10"/>
    </font>
    <font>
      <name val="Tahoma"/>
      <color rgb="00FFFFFF"/>
      <sz val="9"/>
    </font>
    <font>
      <name val="Tahoma"/>
      <b val="1"/>
      <color rgb="00241F18"/>
      <sz val="12"/>
    </font>
    <font>
      <name val="Tahoma"/>
      <b val="1"/>
      <color rgb="00241F18"/>
      <sz val="14"/>
    </font>
    <font>
      <name val="Tahoma"/>
      <b val="1"/>
      <color rgb="000F5132"/>
      <sz val="9"/>
    </font>
    <font>
      <name val="Tahoma"/>
      <b val="1"/>
      <color rgb="00664D03"/>
      <sz val="9"/>
    </font>
    <font>
      <name val="Tahoma"/>
      <b val="1"/>
      <color rgb="00842029"/>
      <sz val="9"/>
    </font>
  </fonts>
  <fills count="13">
    <fill>
      <patternFill/>
    </fill>
    <fill>
      <patternFill patternType="gray125"/>
    </fill>
    <fill>
      <patternFill patternType="solid">
        <fgColor rgb="002F4A32"/>
      </patternFill>
    </fill>
    <fill>
      <patternFill patternType="solid">
        <fgColor rgb="003F5E41"/>
      </patternFill>
    </fill>
    <fill>
      <patternFill patternType="solid">
        <fgColor rgb="00FFFFFF"/>
      </patternFill>
    </fill>
    <fill>
      <patternFill patternType="solid">
        <fgColor rgb="00F4EFE4"/>
      </patternFill>
    </fill>
    <fill>
      <patternFill patternType="solid">
        <fgColor rgb="00FFF3CD"/>
      </patternFill>
    </fill>
    <fill>
      <patternFill patternType="solid">
        <fgColor rgb="00E7EDD8"/>
      </patternFill>
    </fill>
    <fill>
      <patternFill patternType="solid">
        <fgColor rgb="00FFFBEB"/>
      </patternFill>
    </fill>
    <fill>
      <patternFill patternType="solid">
        <fgColor rgb="00EEF2EE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>
      <left style="thin">
        <color rgb="00C9BFAE"/>
      </left>
      <right style="thin">
        <color rgb="00C9BFAE"/>
      </right>
      <top style="thin">
        <color rgb="00C9BFAE"/>
      </top>
      <bottom style="thin">
        <color rgb="00C9BFAE"/>
      </bottom>
    </border>
    <border>
      <left/>
      <right/>
      <top style="thin">
        <color rgb="00C9BFAE"/>
      </top>
      <bottom/>
      <diagonal/>
    </border>
    <border>
      <left/>
      <right style="thin">
        <color rgb="00C9BFAE"/>
      </right>
      <top style="thin">
        <color rgb="00C9BFAE"/>
      </top>
      <bottom/>
      <diagonal/>
    </border>
    <border>
      <left/>
      <right/>
      <top style="thin">
        <color rgb="00C9BFAE"/>
      </top>
      <bottom style="thin">
        <color rgb="00C9BFAE"/>
      </bottom>
      <diagonal/>
    </border>
    <border>
      <left/>
      <right style="thin">
        <color rgb="00C9BFAE"/>
      </right>
      <top style="thin">
        <color rgb="00C9BFAE"/>
      </top>
      <bottom style="thin">
        <color rgb="00C9BFAE"/>
      </bottom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1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4" fontId="16" fillId="9" borderId="1" applyAlignment="1" pivotButton="0" quotePrefix="0" xfId="0">
      <alignment horizontal="center" vertical="center" wrapText="1"/>
    </xf>
    <xf numFmtId="4" fontId="4" fillId="9" borderId="1" applyAlignment="1" pivotButton="0" quotePrefix="0" xfId="0">
      <alignment horizontal="center" vertical="center" wrapText="1"/>
    </xf>
    <xf numFmtId="164" fontId="16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" fontId="16" fillId="9" borderId="1" applyAlignment="1" pivotButton="0" quotePrefix="0" xfId="0">
      <alignment horizontal="center" vertical="center" wrapText="1"/>
    </xf>
    <xf numFmtId="1" fontId="4" fillId="9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6" fillId="4" borderId="1" applyAlignment="1" pivotButton="0" quotePrefix="0" xfId="0">
      <alignment horizontal="center" vertical="center" wrapText="1"/>
    </xf>
    <xf numFmtId="3" fontId="4" fillId="8" borderId="1" applyAlignment="1" applyProtection="1" pivotButton="0" quotePrefix="0" xfId="0">
      <alignment horizontal="center" vertical="center" wrapText="1"/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2" fontId="4" fillId="8" borderId="1" applyAlignment="1" applyProtection="1" pivotButton="0" quotePrefix="0" xfId="0">
      <alignment horizontal="center" vertical="center" wrapText="1"/>
      <protection locked="0" hidden="0"/>
    </xf>
    <xf numFmtId="164" fontId="4" fillId="8" borderId="1" applyAlignment="1" applyProtection="1" pivotButton="0" quotePrefix="0" xfId="0">
      <alignment horizontal="center" vertical="center" wrapText="1"/>
      <protection locked="0" hidden="0"/>
    </xf>
    <xf numFmtId="0" fontId="8" fillId="1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right" vertical="center" wrapText="1"/>
    </xf>
    <xf numFmtId="4" fontId="4" fillId="8" borderId="1" applyAlignment="1" applyProtection="1" pivotButton="0" quotePrefix="0" xfId="0">
      <alignment horizontal="center" vertical="center" wrapText="1"/>
      <protection locked="0" hidden="0"/>
    </xf>
    <xf numFmtId="4" fontId="3" fillId="2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6" fillId="5" borderId="0" pivotButton="0" quotePrefix="0" xfId="0"/>
    <xf numFmtId="165" fontId="4" fillId="9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11" fillId="1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12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6" fillId="12" borderId="6" applyAlignment="1" pivotButton="0" quotePrefix="0" xfId="0">
      <alignment horizontal="center" vertical="center" wrapText="1"/>
    </xf>
    <xf numFmtId="0" fontId="13" fillId="4" borderId="6" applyAlignment="1" applyProtection="1" pivotButton="0" quotePrefix="0" xfId="0">
      <alignment horizontal="center" vertical="center" wrapText="1"/>
      <protection locked="0" hidden="0"/>
    </xf>
    <xf numFmtId="0" fontId="13" fillId="12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Tahoma"/>
        <b val="1"/>
        <color rgb="00842029"/>
        <sz val="12"/>
      </font>
      <fill>
        <patternFill patternType="solid">
          <fgColor rgb="00F8D7DA"/>
        </patternFill>
      </fill>
    </dxf>
    <dxf>
      <font>
        <name val="Tahoma"/>
        <b val="1"/>
        <color rgb="00664D03"/>
        <sz val="12"/>
      </font>
      <fill>
        <patternFill patternType="solid">
          <fgColor rgb="00FFF3CD"/>
        </patternFill>
      </fill>
    </dxf>
    <dxf>
      <font>
        <name val="Tahoma"/>
        <b val="1"/>
        <color rgb="000F5132"/>
        <sz val="12"/>
      </font>
      <fill>
        <patternFill patternType="solid">
          <fgColor rgb="00D1E7DD"/>
        </patternFill>
      </fill>
    </dxf>
    <dxf>
      <font>
        <name val="Tahoma"/>
        <b val="1"/>
        <color rgb="000F5132"/>
        <sz val="9"/>
      </font>
      <fill>
        <patternFill patternType="solid">
          <fgColor rgb="00D1E7DD"/>
        </patternFill>
      </fill>
    </dxf>
    <dxf>
      <font>
        <name val="Tahoma"/>
        <b val="1"/>
        <color rgb="00664D03"/>
        <sz val="9"/>
      </font>
      <fill>
        <patternFill patternType="solid">
          <fgColor rgb="00FFF3CD"/>
        </patternFill>
      </fill>
    </dxf>
    <dxf>
      <font>
        <name val="Tahoma"/>
        <b val="1"/>
        <color rgb="00842029"/>
        <sz val="9"/>
      </font>
      <fill>
        <patternFill patternType="solid">
          <fgColor rgb="00F8D7DA"/>
        </patternFill>
      </fill>
    </dxf>
    <dxf>
      <font>
        <name val="Tahoma"/>
        <color rgb="00842029"/>
        <sz val="9"/>
      </font>
      <fill>
        <patternFill patternType="solid">
          <fgColor rgb="00F8D7DA"/>
        </patternFill>
      </fill>
    </dxf>
    <dxf>
      <font>
        <name val="Tahoma"/>
        <color rgb="000F5132"/>
        <sz val="9"/>
      </font>
      <fill>
        <patternFill patternType="solid">
          <fgColor rgb="00D1E7DD"/>
        </patternFill>
      </fill>
    </dxf>
    <dxf>
      <font>
        <name val="Tahoma"/>
        <color rgb="00664D03"/>
        <sz val="9"/>
      </font>
      <fill>
        <patternFill patternType="solid">
          <fgColor rgb="00FFF3CD"/>
        </patternFill>
      </fill>
    </dxf>
    <dxf>
      <font>
        <name val="Tahoma"/>
        <color rgb="006B6256"/>
        <sz val="9"/>
      </font>
      <fill>
        <patternFill patternType="solid">
          <fgColor rgb="00FFFFFF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7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ترکیب فروش ماه (تومان)</a:t>
            </a:r>
          </a:p>
        </rich>
      </tx>
    </title>
    <plotArea>
      <pieChart>
        <varyColors val="1"/>
        <ser>
          <idx val="0"/>
          <order val="0"/>
          <tx>
            <strRef>
              <f>'Lists'!V1</f>
            </strRef>
          </tx>
          <spPr>
            <a:ln>
              <a:prstDash val="solid"/>
            </a:ln>
          </spPr>
          <cat>
            <numRef>
              <f>'Lists'!$U$2:$U$8</f>
            </numRef>
          </cat>
          <val>
            <numRef>
              <f>'Lists'!$V$2:$V$8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تولید ماه به تفکیک محصول (کیلو)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'Lists'!W1</f>
            </strRef>
          </tx>
          <spPr>
            <a:ln>
              <a:prstDash val="solid"/>
            </a:ln>
          </spPr>
          <cat>
            <numRef>
              <f>'Lists'!$U$2:$U$8</f>
            </numRef>
          </cat>
          <val>
            <numRef>
              <f>'Lists'!$W$2:$W$8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سامانه</author>
  </authors>
  <commentList>
    <comment ref="B3" authorId="0" shapeId="0">
      <text>
        <t>تاریخ شمسی با اعداد انگلیسی: 1405/06/18</t>
      </text>
    </comment>
    <comment ref="I3" authorId="0" shapeId="0">
      <text>
        <t>(مبلغ کل + حمل) ÷ مقدار</t>
      </text>
    </comment>
    <comment ref="K3" authorId="0" shapeId="0">
      <text>
        <t>فقط «تأیید شده» در موجودی و هزینه خرید ماه حساب می‌شود</t>
      </text>
    </comment>
  </commentList>
</comments>
</file>

<file path=xl/comments/comment2.xml><?xml version="1.0" encoding="utf-8"?>
<comments xmlns="http://schemas.openxmlformats.org/spreadsheetml/2006/main">
  <authors>
    <author>سامانه</author>
  </authors>
  <commentList>
    <comment ref="F3" authorId="0" shapeId="0">
      <text>
        <t>ورودی − پاک‌شده</t>
      </text>
    </comment>
    <comment ref="H3" authorId="0" shapeId="0">
      <text>
        <t>۰.۴ = ۴۰۰ گرم | ۰.۹ = ۹۰۰ گرم | ۱۰ = کیسه ۱۰ کیلویی</t>
      </text>
    </comment>
    <comment ref="I3" authorId="0" shapeId="0">
      <text>
        <t>جزء صحیح پاک‌شده ÷ وزن بسته</t>
      </text>
    </comment>
    <comment ref="J3" authorId="0" shapeId="0">
      <text>
        <t>باقی‌مانده‌ای که بسته نشده (باید نزدیک صفر باشد)</t>
      </text>
    </comment>
  </commentList>
</comments>
</file>

<file path=xl/comments/comment3.xml><?xml version="1.0" encoding="utf-8"?>
<comments xmlns="http://schemas.openxmlformats.org/spreadsheetml/2006/main">
  <authors>
    <author>سامانه</author>
  </authors>
  <commentList>
    <comment ref="H3" authorId="0" shapeId="0">
      <text>
        <t>تعداد × وزن بسته</t>
      </text>
    </comment>
    <comment ref="J3" authorId="0" shapeId="0">
      <text>
        <t>تعداد × قیمت واحد (قیمت هر بسته)</t>
      </text>
    </comment>
    <comment ref="N3" authorId="0" shapeId="0">
      <text>
        <t>مبلغ نهایی − وصول. اگر صفر باشد حساب تسویه است.</t>
      </text>
    </comment>
  </commentList>
</comments>
</file>

<file path=xl/comments/comment4.xml><?xml version="1.0" encoding="utf-8"?>
<comments xmlns="http://schemas.openxmlformats.org/spreadsheetml/2006/main">
  <authors>
    <author>سامانه</author>
  </authors>
  <commentList>
    <comment ref="G3" authorId="0" shapeId="0">
      <text>
        <t>اولین فاکتور در Sales — برای شمارش مشتری جدید ماه</t>
      </text>
    </comment>
    <comment ref="J3" authorId="0" shapeId="0">
      <text>
        <t>A/B/C از مجموع خرید و آستانه‌های برگه تنظیمات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urchasesTbl" displayName="PurchasesTbl" ref="A3:N151" headerRowCount="1">
  <autoFilter ref="A3:N151"/>
  <tableColumns count="14">
    <tableColumn id="1" name="ردیف"/>
    <tableColumn id="2" name="تاریخ شمسی"/>
    <tableColumn id="3" name="تأمین‌کننده"/>
    <tableColumn id="4" name="نوع حبوبات"/>
    <tableColumn id="5" name="مقدار (کیلو)"/>
    <tableColumn id="6" name="قیمت هر کیلو"/>
    <tableColumn id="7" name="مبلغ کل"/>
    <tableColumn id="8" name="هزینه حمل"/>
    <tableColumn id="9" name="قیمت تمام‌شده هر کیلو"/>
    <tableColumn id="10" name="کیفیت"/>
    <tableColumn id="11" name="وضعیت تأیید"/>
    <tableColumn id="12" name="توضیحات"/>
    <tableColumn id="13" name="سال"/>
    <tableColumn id="14" name="ماه"/>
  </tableColumns>
  <tableStyleInfo name="TableStyleMedium9" showRowStripes="1"/>
</table>
</file>

<file path=xl/tables/table2.xml><?xml version="1.0" encoding="utf-8"?>
<table xmlns="http://schemas.openxmlformats.org/spreadsheetml/2006/main" id="2" name="ProductionTbl" displayName="ProductionTbl" ref="A3:N151" headerRowCount="1">
  <autoFilter ref="A3:N151"/>
  <tableColumns count="14">
    <tableColumn id="1" name="ردیف"/>
    <tableColumn id="2" name="تاریخ شمسی"/>
    <tableColumn id="3" name="نوع حبوبات"/>
    <tableColumn id="4" name="مقدار ورودی (کیلو)"/>
    <tableColumn id="5" name="مقدار پاک‌شده (کیلو)"/>
    <tableColumn id="6" name="مقدار ضایعات"/>
    <tableColumn id="7" name="درصد ضایعات"/>
    <tableColumn id="8" name="وزن بسته (کیلو)"/>
    <tableColumn id="9" name="تعداد بسته"/>
    <tableColumn id="10" name="خطای وزن (کیلو)"/>
    <tableColumn id="11" name="اپراتور"/>
    <tableColumn id="12" name="توضیحات"/>
    <tableColumn id="13" name="سال"/>
    <tableColumn id="14" name="ماه"/>
  </tableColumns>
  <tableStyleInfo name="TableStyleMedium9" showRowStripes="1"/>
</table>
</file>

<file path=xl/tables/table3.xml><?xml version="1.0" encoding="utf-8"?>
<table xmlns="http://schemas.openxmlformats.org/spreadsheetml/2006/main" id="3" name="SalesTbl" displayName="SalesTbl" ref="A3:Q151" headerRowCount="1">
  <autoFilter ref="A3:Q151"/>
  <tableColumns count="17">
    <tableColumn id="1" name="ردیف"/>
    <tableColumn id="2" name="تاریخ شمسی"/>
    <tableColumn id="3" name="نام مشتری"/>
    <tableColumn id="4" name="شهر/منطقه"/>
    <tableColumn id="5" name="محصول"/>
    <tableColumn id="6" name="وزن بسته (کیلو)"/>
    <tableColumn id="7" name="تعداد"/>
    <tableColumn id="8" name="وزن کل (کیلو)"/>
    <tableColumn id="9" name="قیمت واحد"/>
    <tableColumn id="10" name="مبلغ فروش"/>
    <tableColumn id="11" name="تخفیف"/>
    <tableColumn id="12" name="مبلغ نهایی"/>
    <tableColumn id="13" name="مبلغ وصول‌شده"/>
    <tableColumn id="14" name="مانده حساب"/>
    <tableColumn id="15" name="فروشنده"/>
    <tableColumn id="16" name="سال"/>
    <tableColumn id="17" name="ماه"/>
  </tableColumns>
  <tableStyleInfo name="TableStyleMedium9" showRowStripes="1"/>
</table>
</file>

<file path=xl/tables/table4.xml><?xml version="1.0" encoding="utf-8"?>
<table xmlns="http://schemas.openxmlformats.org/spreadsheetml/2006/main" id="4" name="CustomersTbl" displayName="CustomersTbl" ref="A3:L151" headerRowCount="1">
  <autoFilter ref="A3:L151"/>
  <tableColumns count="12">
    <tableColumn id="1" name="نام مشتری"/>
    <tableColumn id="2" name="شماره تماس"/>
    <tableColumn id="3" name="شهر"/>
    <tableColumn id="4" name="آدرس"/>
    <tableColumn id="5" name="نوع مشتری"/>
    <tableColumn id="6" name="آخرین ویزیت"/>
    <tableColumn id="7" name="اولین خرید"/>
    <tableColumn id="8" name="آخرین خرید"/>
    <tableColumn id="9" name="مجموع خرید (تومان)"/>
    <tableColumn id="10" name="دسته"/>
    <tableColumn id="11" name="وضعیت"/>
    <tableColumn id="12" name="توضیحات"/>
  </tableColumns>
  <tableStyleInfo name="TableStyleMedium9" showRowStripes="1"/>
</table>
</file>

<file path=xl/tables/table5.xml><?xml version="1.0" encoding="utf-8"?>
<table xmlns="http://schemas.openxmlformats.org/spreadsheetml/2006/main" id="5" name="SalesRepTbl" displayName="SalesRepTbl" ref="A3:P151" headerRowCount="1">
  <autoFilter ref="A3:P151"/>
  <tableColumns count="16">
    <tableColumn id="1" name="ردیف"/>
    <tableColumn id="2" name="تاریخ شمسی"/>
    <tableColumn id="3" name="منطقه"/>
    <tableColumn id="4" name="برنامه‌ریزی‌شده"/>
    <tableColumn id="5" name="ویزیت‌شده"/>
    <tableColumn id="6" name="سفارش گرفته‌شده"/>
    <tableColumn id="7" name="مبلغ سفارش"/>
    <tableColumn id="8" name="مشتری جدید"/>
    <tableColumn id="9" name="مبلغ وصول‌شده"/>
    <tableColumn id="10" name="کیلومتر"/>
    <tableColumn id="11" name="هزینه سوخت"/>
    <tableColumn id="12" name="توضیحات"/>
    <tableColumn id="13" name="درصد انجام ویزیت"/>
    <tableColumn id="14" name="نرخ تبدیل"/>
    <tableColumn id="15" name="سال"/>
    <tableColumn id="16" name="ماه"/>
  </tableColumns>
  <tableStyleInfo name="TableStyleMedium9" showRowStripes="1"/>
</table>
</file>

<file path=xl/tables/table6.xml><?xml version="1.0" encoding="utf-8"?>
<table xmlns="http://schemas.openxmlformats.org/spreadsheetml/2006/main" id="6" name="ExpensesTbl" displayName="ExpensesTbl" ref="A3:I151" headerRowCount="1">
  <autoFilter ref="A3:I151"/>
  <tableColumns count="9">
    <tableColumn id="1" name="ردیف"/>
    <tableColumn id="2" name="تاریخ شمسی"/>
    <tableColumn id="3" name="نوع هزینه"/>
    <tableColumn id="4" name="مبلغ (تومان)"/>
    <tableColumn id="5" name="پرداخت‌کننده"/>
    <tableColumn id="6" name="روش پرداخت"/>
    <tableColumn id="7" name="توضیحات"/>
    <tableColumn id="8" name="سال"/>
    <tableColumn id="9" name="ماه"/>
  </tableColumns>
  <tableStyleInfo name="TableStyleMedium9" showRowStripes="1"/>
</table>
</file>

<file path=xl/tables/table7.xml><?xml version="1.0" encoding="utf-8"?>
<table xmlns="http://schemas.openxmlformats.org/spreadsheetml/2006/main" id="7" name="SuppliersTbl" displayName="SuppliersTbl" ref="A3:P151" headerRowCount="1">
  <autoFilter ref="A3:P151"/>
  <tableColumns count="16">
    <tableColumn id="1" name="نام"/>
    <tableColumn id="2" name="شماره تماس"/>
    <tableColumn id="3" name="شهر"/>
    <tableColumn id="4" name="نوع محصول"/>
    <tableColumn id="5" name="قیمت شاخص (کیلو)"/>
    <tableColumn id="6" name="کیفیت"/>
    <tableColumn id="7" name="شرایط پرداخت"/>
    <tableColumn id="8" name="زمان تحویل (روز)"/>
    <tableColumn id="9" name="امتیاز قیمت"/>
    <tableColumn id="10" name="امتیاز کیفیت"/>
    <tableColumn id="11" name="امتیاز تحویل"/>
    <tableColumn id="12" name="امتیاز ثبات"/>
    <tableColumn id="13" name="امتیاز پرداخت"/>
    <tableColumn id="14" name="امتیاز کل"/>
    <tableColumn id="15" name="وضعیت تأیید"/>
    <tableColumn id="16" name="توضیحا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F51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28" customWidth="1" min="4" max="4"/>
    <col width="36" customWidth="1" min="5" max="5"/>
    <col width="28" customWidth="1" min="6" max="6"/>
  </cols>
  <sheetData>
    <row r="1" ht="34" customHeight="1">
      <c r="A1" s="1" t="inlineStr">
        <is>
          <t>راهنمای استفاده — کارگاه بسته‌بندی حبوبات پلدختر</t>
        </is>
      </c>
    </row>
    <row r="2">
      <c r="A2" s="2" t="inlineStr">
        <is>
          <t>هدف: مدیر در کمتر از ۱۰ دقیقه بفهمد چه چیزی خوب است، چه چیزی مشکل دارد، و کجا باید دخالت کند.</t>
        </is>
      </c>
    </row>
    <row r="4">
      <c r="A4" s="3" t="inlineStr">
        <is>
          <t>۱) هر کس چه چیزی را وارد می‌کند</t>
        </is>
      </c>
      <c r="B4" s="4" t="n"/>
      <c r="C4" s="4" t="n"/>
      <c r="D4" s="4" t="n"/>
      <c r="E4" s="4" t="n"/>
      <c r="F4" s="4" t="n"/>
    </row>
    <row r="5">
      <c r="A5" s="3" t="inlineStr">
        <is>
          <t>شخص</t>
        </is>
      </c>
      <c r="B5" s="3" t="inlineStr">
        <is>
          <t>وظیفه در کارگاه</t>
        </is>
      </c>
      <c r="C5" s="3" t="inlineStr">
        <is>
          <t>برگه Excel</t>
        </is>
      </c>
      <c r="D5" s="3" t="inlineStr">
        <is>
          <t>فرم کاغذی</t>
        </is>
      </c>
      <c r="E5" s="3" t="inlineStr">
        <is>
          <t>چه چیزی را می‌نویسد</t>
        </is>
      </c>
      <c r="F5" s="3" t="inlineStr">
        <is>
          <t>چه چیزی را دست نزند</t>
        </is>
      </c>
    </row>
    <row r="6" ht="32" customHeight="1">
      <c r="A6" s="5" t="inlineStr">
        <is>
          <t>مدیر / مالک</t>
        </is>
      </c>
      <c r="B6" s="5" t="inlineStr">
        <is>
          <t>خرید، فروش، مالی، تصمیم</t>
        </is>
      </c>
      <c r="C6" s="5" t="inlineStr">
        <is>
          <t>Purchases + تنظیمات + Dashboard</t>
        </is>
      </c>
      <c r="D6" s="5" t="inlineStr">
        <is>
          <t>تأیید خرید و هزینه</t>
        </is>
      </c>
      <c r="E6" s="5" t="inlineStr">
        <is>
          <t>تأیید بار، اهداف KPI، نگاه داشبورد</t>
        </is>
      </c>
      <c r="F6" s="5" t="inlineStr">
        <is>
          <t>ردیف‌های فرمول خاکستری</t>
        </is>
      </c>
    </row>
    <row r="7" ht="32" customHeight="1">
      <c r="A7" s="5" t="inlineStr">
        <is>
          <t>پدر مدیر</t>
        </is>
      </c>
      <c r="B7" s="5" t="inlineStr">
        <is>
          <t>انبار و کمک تولید</t>
        </is>
      </c>
      <c r="C7" s="5" t="inlineStr">
        <is>
          <t>Inventory + کمک Production</t>
        </is>
      </c>
      <c r="D7" s="5" t="inlineStr">
        <is>
          <t>شمارش موجودی، دریافت مواد</t>
        </is>
      </c>
      <c r="E7" s="5" t="inlineStr">
        <is>
          <t>شمارش و تعدیل انبار</t>
        </is>
      </c>
      <c r="F7" s="5" t="inlineStr">
        <is>
          <t>خرید و فروش (تکراری نشود)</t>
        </is>
      </c>
    </row>
    <row r="8" ht="32" customHeight="1">
      <c r="A8" s="5" t="inlineStr">
        <is>
          <t>نیروی خانم</t>
        </is>
      </c>
      <c r="B8" s="5" t="inlineStr">
        <is>
          <t>پاک‌کنی و بسته‌بندی</t>
        </is>
      </c>
      <c r="C8" s="5" t="inlineStr">
        <is>
          <t>Production (یا فقط فرم کاغذی)</t>
        </is>
      </c>
      <c r="D8" s="5" t="inlineStr">
        <is>
          <t>گزارش تولید روزانه</t>
        </is>
      </c>
      <c r="E8" s="5" t="inlineStr">
        <is>
          <t>مقدار ورودی، پاک‌شده، وزن بسته</t>
        </is>
      </c>
      <c r="F8" s="5" t="inlineStr">
        <is>
          <t>درصد ضایعات (خودکار است)</t>
        </is>
      </c>
    </row>
    <row r="9" ht="32" customHeight="1">
      <c r="A9" s="5" t="inlineStr">
        <is>
          <t>ویزیتور آقا</t>
        </is>
      </c>
      <c r="B9" s="5" t="inlineStr">
        <is>
          <t>ویزیت، فروش، پخش</t>
        </is>
      </c>
      <c r="C9" s="5" t="inlineStr">
        <is>
          <t>Sales + SalesRep + Customers</t>
        </is>
      </c>
      <c r="D9" s="5" t="inlineStr">
        <is>
          <t>گزارش ویزیت، خروج کالا، تحویل پخش</t>
        </is>
      </c>
      <c r="E9" s="5" t="inlineStr">
        <is>
          <t>سفارش، وصول، مسیر، کیلومتر</t>
        </is>
      </c>
      <c r="F9" s="5" t="inlineStr">
        <is>
          <t>مانده حساب (خودکار است)</t>
        </is>
      </c>
    </row>
    <row r="11">
      <c r="A11" s="3" t="inlineStr">
        <is>
          <t>۲) روال روزانه مدیر (زیر ۱۰ دقیقه)</t>
        </is>
      </c>
      <c r="B11" s="4" t="n"/>
      <c r="C11" s="4" t="n"/>
      <c r="D11" s="4" t="n"/>
      <c r="E11" s="4" t="n"/>
      <c r="F11" s="4" t="n"/>
    </row>
    <row r="12" ht="22" customHeight="1">
      <c r="A12" s="6" t="inlineStr">
        <is>
          <t>۱. در برگه تنظیمات، «تاریخ امروز» و اگر ماه عوض شده «ماه جاری» را به‌روز کنید.</t>
        </is>
      </c>
    </row>
    <row r="13" ht="22" customHeight="1">
      <c r="A13" s="6" t="inlineStr">
        <is>
          <t>۲. فرم‌های کاغذی دیروز را از روی میز جمع کنید و به مسئول مربوطه بدهید تا در Excel بزند (یا خودتان).</t>
        </is>
      </c>
    </row>
    <row r="14" ht="22" customHeight="1">
      <c r="A14" s="6" t="inlineStr">
        <is>
          <t>۳. برگه Dashboard را باز کنید. نوار بالای جدول را بخوانید.</t>
        </is>
      </c>
    </row>
    <row r="15" ht="22" customHeight="1">
      <c r="A15" s="6" t="inlineStr">
        <is>
          <t>۴. اگر همه چیز مطلوب است، صفحه را ببندید. نیازی به خواندن فرم‌ها نیست.</t>
        </is>
      </c>
    </row>
    <row r="16" ht="22" customHeight="1">
      <c r="A16" s="6" t="inlineStr">
        <is>
          <t>۵. اگر زرد است: تا پایان هفته صبر و نظارت. اگر قرمز است: متن «اقدام اصلاحی» همان ردیف را همان روز اجرا کنید.</t>
        </is>
      </c>
    </row>
    <row r="17" ht="22" customHeight="1">
      <c r="A17" s="6" t="inlineStr">
        <is>
          <t>۶. چرخه: ثبت → KPI → داشبورد → تشخیص انحراف → اقدام → بهبود هدف در تنظیمات اگر لازم شد.</t>
        </is>
      </c>
    </row>
    <row r="19">
      <c r="A19" s="3" t="inlineStr">
        <is>
          <t>۳) قوانین مهم</t>
        </is>
      </c>
      <c r="B19" s="4" t="n"/>
      <c r="C19" s="4" t="n"/>
      <c r="D19" s="4" t="n"/>
      <c r="E19" s="4" t="n"/>
      <c r="F19" s="4" t="n"/>
    </row>
    <row r="20" ht="28" customHeight="1">
      <c r="A20" s="5" t="inlineStr">
        <is>
          <t>تاریخ را همیشه با اعداد انگلیسی و صفر جلو ماه/روز بنویسید: 1405/06/18 نه ۱۴۰۵/۶/۱۸.</t>
        </is>
      </c>
    </row>
    <row r="21" ht="28" customHeight="1">
      <c r="A21" s="5" t="inlineStr">
        <is>
          <t>سلول کرم‌رنگ = ورود اطلاعات. سلول خاکستری = فرمول. فرمول را پاک نکنید. اگر لازم شد از Review برگه را Unprotect کنید (رمز ندارد).</t>
        </is>
      </c>
    </row>
    <row r="22" ht="28" customHeight="1">
      <c r="A22" s="5" t="inlineStr">
        <is>
          <t>هر داده فقط یک بار وارد می‌شود. خرید در Purchases، تولید در Production، فروش در Sales. موجودی خودش حساب می‌شود.</t>
        </is>
      </c>
    </row>
    <row r="23" ht="28" customHeight="1">
      <c r="A23" s="5" t="inlineStr">
        <is>
          <t>فقط بار «تأیید شده» وارد موجودی و هزینه خرید می‌شود. بار ضعیف را «رد شده» بزنید.</t>
        </is>
      </c>
    </row>
    <row r="24" ht="28" customHeight="1">
      <c r="A24" s="5" t="inlineStr">
        <is>
          <t>وزن بسته: 0.4 یعنی ۴۰۰ گرم، 0.9 یعنی ۹۰۰ گرم، 10 یعنی کیسه ۱۰ کیلویی.</t>
        </is>
      </c>
    </row>
    <row r="25" ht="28" customHeight="1">
      <c r="A25" s="5" t="inlineStr">
        <is>
          <t>واحد پول همه جا تومان است. اعداد با جداکننده هزارگان نمایش داده می‌شوند.</t>
        </is>
      </c>
    </row>
    <row r="26" ht="28" customHeight="1">
      <c r="A26" s="5" t="inlineStr">
        <is>
          <t>مشتری جدید = کسی که اولین خریدش در ماه جاری است (از روی برگه Sales).</t>
        </is>
      </c>
    </row>
    <row r="27" ht="28" customHeight="1">
      <c r="A27" s="5" t="inlineStr">
        <is>
          <t>سود ناخالص این سامانه = فروش ماه − خرید تأییدشده ماه − هزینه‌های ماه. ساده و قابل فهم برای کارگاه کوچک.</t>
        </is>
      </c>
    </row>
    <row r="28" ht="28" customHeight="1">
      <c r="A28" s="5" t="inlineStr">
        <is>
          <t>برای ماه بعد فقط سال/ماه را در تنظیمات عوض کنید. داده قبلی سر جایش می‌ماند.</t>
        </is>
      </c>
    </row>
    <row r="29" ht="28" customHeight="1">
      <c r="A29" s="5" t="inlineStr">
        <is>
          <t>جا برای رشد تا حدود ۲۰ کارمند در برگه Employees آماده است. ردیف‌های خالی ژورنال تا ۱۵۰ تراکنش جا دارد.</t>
        </is>
      </c>
    </row>
    <row r="31">
      <c r="A31" s="3" t="inlineStr">
        <is>
          <t>۴) فهرست برگه‌ها</t>
        </is>
      </c>
      <c r="B31" s="4" t="n"/>
      <c r="C31" s="4" t="n"/>
      <c r="D31" s="4" t="n"/>
      <c r="E31" s="4" t="n"/>
      <c r="F31" s="4" t="n"/>
    </row>
    <row r="32">
      <c r="A32" s="3" t="inlineStr">
        <is>
          <t>برگه</t>
        </is>
      </c>
      <c r="B32" s="3" t="inlineStr">
        <is>
          <t>کاربرد</t>
        </is>
      </c>
      <c r="C32" s="3" t="inlineStr">
        <is>
          <t>چه کسی</t>
        </is>
      </c>
      <c r="D32" s="3" t="inlineStr">
        <is>
          <t>ورود یا خواندنی</t>
        </is>
      </c>
      <c r="E32" s="3" t="inlineStr"/>
      <c r="F32" s="3" t="inlineStr"/>
    </row>
    <row r="33" ht="32" customHeight="1">
      <c r="A33" s="5" t="inlineStr">
        <is>
          <t>راهنما</t>
        </is>
      </c>
      <c r="B33" s="5" t="inlineStr">
        <is>
          <t>همین صفحه</t>
        </is>
      </c>
      <c r="C33" s="5" t="inlineStr">
        <is>
          <t>همه</t>
        </is>
      </c>
      <c r="D33" s="5" t="inlineStr">
        <is>
          <t>خواندنی</t>
        </is>
      </c>
      <c r="E33" s="5" t="inlineStr"/>
      <c r="F33" s="5" t="inlineStr"/>
    </row>
    <row r="34" ht="32" customHeight="1">
      <c r="A34" s="5" t="inlineStr">
        <is>
          <t>Dashboard</t>
        </is>
      </c>
      <c r="B34" s="5" t="inlineStr">
        <is>
          <t>وضعیت کارگاه در یک نگاه</t>
        </is>
      </c>
      <c r="C34" s="5" t="inlineStr">
        <is>
          <t>مدیر</t>
        </is>
      </c>
      <c r="D34" s="5" t="inlineStr">
        <is>
          <t>خواندنی — خودکار</t>
        </is>
      </c>
      <c r="E34" s="5" t="inlineStr"/>
      <c r="F34" s="5" t="inlineStr"/>
    </row>
    <row r="35" ht="32" customHeight="1">
      <c r="A35" s="5" t="inlineStr">
        <is>
          <t>تنظیمات</t>
        </is>
      </c>
      <c r="B35" s="5" t="inlineStr">
        <is>
          <t>سال/ماه/امروز و اهداف KPI</t>
        </is>
      </c>
      <c r="C35" s="5" t="inlineStr">
        <is>
          <t>مدیر</t>
        </is>
      </c>
      <c r="D35" s="5" t="inlineStr">
        <is>
          <t>ورود اهداف</t>
        </is>
      </c>
      <c r="E35" s="5" t="inlineStr"/>
      <c r="F35" s="5" t="inlineStr"/>
    </row>
    <row r="36" ht="32" customHeight="1">
      <c r="A36" s="5" t="inlineStr">
        <is>
          <t>Purchases</t>
        </is>
      </c>
      <c r="B36" s="5" t="inlineStr">
        <is>
          <t>خرید مواد اولیه</t>
        </is>
      </c>
      <c r="C36" s="5" t="inlineStr">
        <is>
          <t>مدیر</t>
        </is>
      </c>
      <c r="D36" s="5" t="inlineStr">
        <is>
          <t>ورود</t>
        </is>
      </c>
      <c r="E36" s="5" t="inlineStr"/>
      <c r="F36" s="5" t="inlineStr"/>
    </row>
    <row r="37" ht="32" customHeight="1">
      <c r="A37" s="5" t="inlineStr">
        <is>
          <t>Inventory</t>
        </is>
      </c>
      <c r="B37" s="5" t="inlineStr">
        <is>
          <t>موجودی لحظه‌ای + تعدیل</t>
        </is>
      </c>
      <c r="C37" s="5" t="inlineStr">
        <is>
          <t>پدر / مدیر</t>
        </is>
      </c>
      <c r="D37" s="5" t="inlineStr">
        <is>
          <t>عمدتاً خودکار</t>
        </is>
      </c>
      <c r="E37" s="5" t="inlineStr"/>
      <c r="F37" s="5" t="inlineStr"/>
    </row>
    <row r="38" ht="32" customHeight="1">
      <c r="A38" s="5" t="inlineStr">
        <is>
          <t>Production</t>
        </is>
      </c>
      <c r="B38" s="5" t="inlineStr">
        <is>
          <t>تولید و ضایعات</t>
        </is>
      </c>
      <c r="C38" s="5" t="inlineStr">
        <is>
          <t>بسته‌بندی / پدر</t>
        </is>
      </c>
      <c r="D38" s="5" t="inlineStr">
        <is>
          <t>ورود</t>
        </is>
      </c>
      <c r="E38" s="5" t="inlineStr"/>
      <c r="F38" s="5" t="inlineStr"/>
    </row>
    <row r="39" ht="32" customHeight="1">
      <c r="A39" s="5" t="inlineStr">
        <is>
          <t>Sales</t>
        </is>
      </c>
      <c r="B39" s="5" t="inlineStr">
        <is>
          <t>فاکتور فروش و وصول</t>
        </is>
      </c>
      <c r="C39" s="5" t="inlineStr">
        <is>
          <t>ویزیتور / مدیر</t>
        </is>
      </c>
      <c r="D39" s="5" t="inlineStr">
        <is>
          <t>ورود</t>
        </is>
      </c>
      <c r="E39" s="5" t="inlineStr"/>
      <c r="F39" s="5" t="inlineStr"/>
    </row>
    <row r="40" ht="32" customHeight="1">
      <c r="A40" s="5" t="inlineStr">
        <is>
          <t>Customers</t>
        </is>
      </c>
      <c r="B40" s="5" t="inlineStr">
        <is>
          <t>دفتر مشتری و ABC</t>
        </is>
      </c>
      <c r="C40" s="5" t="inlineStr">
        <is>
          <t>ویزیتور / مدیر</t>
        </is>
      </c>
      <c r="D40" s="5" t="inlineStr">
        <is>
          <t>ورود مشخصات</t>
        </is>
      </c>
      <c r="E40" s="5" t="inlineStr"/>
      <c r="F40" s="5" t="inlineStr"/>
    </row>
    <row r="41" ht="32" customHeight="1">
      <c r="A41" s="5" t="inlineStr">
        <is>
          <t>SalesRep</t>
        </is>
      </c>
      <c r="B41" s="5" t="inlineStr">
        <is>
          <t>عملکرد روزانه ویزیتور</t>
        </is>
      </c>
      <c r="C41" s="5" t="inlineStr">
        <is>
          <t>ویزیتور</t>
        </is>
      </c>
      <c r="D41" s="5" t="inlineStr">
        <is>
          <t>ورود</t>
        </is>
      </c>
      <c r="E41" s="5" t="inlineStr"/>
      <c r="F41" s="5" t="inlineStr"/>
    </row>
    <row r="42" ht="32" customHeight="1">
      <c r="A42" s="5" t="inlineStr">
        <is>
          <t>Expenses</t>
        </is>
      </c>
      <c r="B42" s="5" t="inlineStr">
        <is>
          <t>هزینه‌ها</t>
        </is>
      </c>
      <c r="C42" s="5" t="inlineStr">
        <is>
          <t>مدیر / پدر</t>
        </is>
      </c>
      <c r="D42" s="5" t="inlineStr">
        <is>
          <t>ورود</t>
        </is>
      </c>
      <c r="E42" s="5" t="inlineStr"/>
      <c r="F42" s="5" t="inlineStr"/>
    </row>
    <row r="43" ht="32" customHeight="1">
      <c r="A43" s="5" t="inlineStr">
        <is>
          <t>Suppliers</t>
        </is>
      </c>
      <c r="B43" s="5" t="inlineStr">
        <is>
          <t>بانک تأمین‌کننده و امتیاز</t>
        </is>
      </c>
      <c r="C43" s="5" t="inlineStr">
        <is>
          <t>مدیر</t>
        </is>
      </c>
      <c r="D43" s="5" t="inlineStr">
        <is>
          <t>ورود</t>
        </is>
      </c>
      <c r="E43" s="5" t="inlineStr"/>
      <c r="F43" s="5" t="inlineStr"/>
    </row>
    <row r="44" ht="32" customHeight="1">
      <c r="A44" s="5" t="inlineStr">
        <is>
          <t>Employees</t>
        </is>
      </c>
      <c r="B44" s="5" t="inlineStr">
        <is>
          <t>کارکنان و حقوق و پورسانت</t>
        </is>
      </c>
      <c r="C44" s="5" t="inlineStr">
        <is>
          <t>مدیر</t>
        </is>
      </c>
      <c r="D44" s="5" t="inlineStr">
        <is>
          <t>ورود</t>
        </is>
      </c>
      <c r="E44" s="5" t="inlineStr"/>
      <c r="F44" s="5" t="inlineStr"/>
    </row>
    <row r="45" ht="32" customHeight="1">
      <c r="A45" s="5" t="inlineStr">
        <is>
          <t>گزارش</t>
        </is>
      </c>
      <c r="B45" s="5" t="inlineStr">
        <is>
          <t>جدول ماهانه محصول (Pivot-like)</t>
        </is>
      </c>
      <c r="C45" s="5" t="inlineStr">
        <is>
          <t>مدیر</t>
        </is>
      </c>
      <c r="D45" s="5" t="inlineStr">
        <is>
          <t>خواندنی</t>
        </is>
      </c>
      <c r="E45" s="5" t="inlineStr"/>
      <c r="F45" s="5" t="inlineStr"/>
    </row>
    <row r="46" ht="32" customHeight="1">
      <c r="A46" s="5" t="inlineStr">
        <is>
          <t>فرم‌ها</t>
        </is>
      </c>
      <c r="B46" s="5" t="inlineStr">
        <is>
          <t>۸ فرم A4 قابل چاپ</t>
        </is>
      </c>
      <c r="C46" s="5" t="inlineStr">
        <is>
          <t>کارگران</t>
        </is>
      </c>
      <c r="D46" s="5" t="inlineStr">
        <is>
          <t>چاپ؛ با خودکار پر می‌شود</t>
        </is>
      </c>
      <c r="E46" s="5" t="inlineStr"/>
      <c r="F46" s="5" t="inlineStr"/>
    </row>
    <row r="48">
      <c r="A48" s="3" t="inlineStr">
        <is>
          <t>۵) داده نمونه</t>
        </is>
      </c>
      <c r="B48" s="4" t="n"/>
      <c r="C48" s="4" t="n"/>
      <c r="D48" s="4" t="n"/>
      <c r="E48" s="4" t="n"/>
      <c r="F48" s="4" t="n"/>
    </row>
    <row r="49">
      <c r="A49" s="7" t="inlineStr">
        <is>
          <t>این فایل با داده نمونه شهریور ۱۴۰۵ پر شده تا داشبورد خالی نباشد و چراغ‌ها دیده شوند. قبل از استفاده واقعی: ردیف‌های نمونه را پاک کنید (محتوای سلول‌های کرم را خالی کنید، فرمول خاکستری را نزنید) یا یک کپی از فایل بگیرید و روی کپی کار کنید. ردیف «موجودی اول دوره» در تأمین‌کنندگان را نگه دارید یا موجودی واقعی را جایگزین کنید.</t>
        </is>
      </c>
    </row>
    <row r="50"/>
    <row r="5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24">
    <mergeCell ref="A16:F16"/>
    <mergeCell ref="A27:F27"/>
    <mergeCell ref="A12:F12"/>
    <mergeCell ref="A26:F26"/>
    <mergeCell ref="A21:F21"/>
    <mergeCell ref="A2:F2"/>
    <mergeCell ref="A14:F14"/>
    <mergeCell ref="A23:F23"/>
    <mergeCell ref="A22:F22"/>
    <mergeCell ref="A17:F17"/>
    <mergeCell ref="A4:F4"/>
    <mergeCell ref="A20:F20"/>
    <mergeCell ref="A29:F29"/>
    <mergeCell ref="A28:F28"/>
    <mergeCell ref="A13:F13"/>
    <mergeCell ref="A19:F19"/>
    <mergeCell ref="A31:F31"/>
    <mergeCell ref="A48:F48"/>
    <mergeCell ref="A15:F15"/>
    <mergeCell ref="A24:F24"/>
    <mergeCell ref="A11:F11"/>
    <mergeCell ref="A49:F51"/>
    <mergeCell ref="A1:F1"/>
    <mergeCell ref="A25:F25"/>
  </mergeCell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D2B"/>
    <outlinePr summaryBelow="1" summaryRight="1"/>
    <pageSetUpPr fitToPage="1"/>
  </sheetPr>
  <dimension ref="A1:G42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6" customWidth="1" min="4" max="4"/>
    <col width="16" customWidth="1" min="5" max="5"/>
    <col width="28" customWidth="1" min="6" max="6"/>
    <col width="36" customWidth="1" min="7" max="7"/>
  </cols>
  <sheetData>
    <row r="1" ht="34" customHeight="1">
      <c r="A1" s="1">
        <f>تنظیمات!B8</f>
        <v/>
      </c>
    </row>
    <row r="2" ht="22" customHeight="1">
      <c r="A2" s="8">
        <f>CONCATENATE("داشبورد مدیریتی  |  ","سال ",تنظیمات!B2,"  —  ماه ",تنظیمات!D2,"  |  تاریخ امروز: ",تنظیمات!F2,"  |  اگر چراغی قرمز نیست، دخالت لازم نیست")</f>
        <v/>
      </c>
    </row>
    <row r="3" ht="26" customHeight="1">
      <c r="A3" s="9">
        <f>IF(COUNTIF(E7:E22,"بحرانی")&gt;0,CONCATENATE(COUNTIF(E7:E22,"بحرانی")," شاخص بحرانی — امروز اقدام کنید"),IF(COUNTIF(E7:E22,"نیاز به بررسی")&gt;0,CONCATENATE(COUNTIF(E7:E22,"نیاز به بررسی")," شاخص نیاز به بررسی دارد"),"همه شاخص‌های مهم مطلوب‌اند. کارگاه روی روال است."))</f>
        <v/>
      </c>
    </row>
    <row r="5" ht="24" customHeight="1">
      <c r="A5" s="3" t="inlineStr">
        <is>
          <t>شاخص</t>
        </is>
      </c>
      <c r="B5" s="3" t="inlineStr">
        <is>
          <t>مقدار</t>
        </is>
      </c>
      <c r="C5" s="3" t="inlineStr">
        <is>
          <t>واحد</t>
        </is>
      </c>
      <c r="D5" s="3" t="inlineStr">
        <is>
          <t>هدف</t>
        </is>
      </c>
      <c r="E5" s="3" t="inlineStr">
        <is>
          <t>وضعیت</t>
        </is>
      </c>
      <c r="F5" s="3" t="inlineStr">
        <is>
          <t>اقدام اصلاحی</t>
        </is>
      </c>
      <c r="G5" s="4" t="n"/>
    </row>
    <row r="7" ht="26" customHeight="1">
      <c r="A7" s="10" t="inlineStr">
        <is>
          <t>فروش روزانه</t>
        </is>
      </c>
      <c r="B7" s="11">
        <f>SUMIF(Sales!$B$4:$B$151,تنظیمات!$F$2,Sales!$L$4:$L$151)</f>
        <v/>
      </c>
      <c r="C7" s="12" t="inlineStr">
        <is>
          <t>تومان</t>
        </is>
      </c>
      <c r="D7" s="13">
        <f>تنظیمات!C18</f>
        <v/>
      </c>
      <c r="E7" s="14">
        <f>IF(B7="","—",IF(B7&gt;=D7,"مطلوب",IF(B7&gt;=تنظیمات!D18,"نیاز به بررسی","بحرانی")))</f>
        <v/>
      </c>
      <c r="F7" s="14">
        <f>IF(E7="بحرانی",تنظیمات!G18,IF(E7="نیاز به بررسی","زیر نظر بگیرید — اگر تا پایان هفته سبز نشد اقدام کنید",IF(E7="مطلوب","","")))</f>
        <v/>
      </c>
    </row>
    <row r="8" ht="26" customHeight="1">
      <c r="A8" s="10" t="inlineStr">
        <is>
          <t>فروش ماهانه</t>
        </is>
      </c>
      <c r="B8" s="11">
        <f>SUMIFS(Sales!$L$4:$L$151,Sales!$P$4:$P$151,تنظیمات!$B$2,Sales!$Q$4:$Q$151,تنظیمات!$D$2)</f>
        <v/>
      </c>
      <c r="C8" s="12" t="inlineStr">
        <is>
          <t>تومان</t>
        </is>
      </c>
      <c r="D8" s="13">
        <f>تنظیمات!C19</f>
        <v/>
      </c>
      <c r="E8" s="14">
        <f>IF(B8="","—",IF(B8&gt;=D8,"مطلوب",IF(B8&gt;=تنظیمات!D19,"نیاز به بررسی","بحرانی")))</f>
        <v/>
      </c>
      <c r="F8" s="14">
        <f>IF(E8="بحرانی",تنظیمات!G19,IF(E8="نیاز به بررسی","زیر نظر بگیرید — اگر تا پایان هفته سبز نشد اقدام کنید",IF(E8="مطلوب","","")))</f>
        <v/>
      </c>
    </row>
    <row r="9" ht="26" customHeight="1">
      <c r="A9" s="10" t="inlineStr">
        <is>
          <t>سود ناخالص</t>
        </is>
      </c>
      <c r="B9" s="11">
        <f>(SUMIFS(Sales!$L$4:$L$151,Sales!$P$4:$P$151,تنظیمات!$B$2,Sales!$Q$4:$Q$151,تنظیمات!$D$2))-(SUMIFS(Purchases!$G$4:$G$151,Purchases!$M$4:$M$151,تنظیمات!$B$2,Purchases!$N$4:$N$151,تنظیمات!$D$2,Purchases!$K$4:$K$151,"تأیید شده")+SUMIFS(Purchases!$H$4:$H$151,Purchases!$M$4:$M$151,تنظیمات!$B$2,Purchases!$N$4:$N$151,تنظیمات!$D$2,Purchases!$K$4:$K$151,"تأیید شده"))-(SUMIFS(Expenses!$D$4:$D$151,Expenses!$H$4:$H$151,تنظیمات!$B$2,Expenses!$I$4:$I$151,تنظیمات!$D$2))</f>
        <v/>
      </c>
      <c r="C9" s="12" t="inlineStr">
        <is>
          <t>تومان</t>
        </is>
      </c>
      <c r="D9" s="13">
        <f>تنظیمات!C20</f>
        <v/>
      </c>
      <c r="E9" s="14">
        <f>IF(B9="","—",IF(B9&gt;=D9,"مطلوب",IF(B9&gt;=تنظیمات!D20,"نیاز به بررسی","بحرانی")))</f>
        <v/>
      </c>
      <c r="F9" s="14">
        <f>IF(E9="بحرانی",تنظیمات!G20,IF(E9="نیاز به بررسی","زیر نظر بگیرید — اگر تا پایان هفته سبز نشد اقدام کنید",IF(E9="مطلوب","","")))</f>
        <v/>
      </c>
    </row>
    <row r="10" ht="26" customHeight="1">
      <c r="A10" s="10" t="inlineStr">
        <is>
          <t>خرید مواد اولیه</t>
        </is>
      </c>
      <c r="B10" s="11">
        <f>SUMIFS(Purchases!$G$4:$G$151,Purchases!$M$4:$M$151,تنظیمات!$B$2,Purchases!$N$4:$N$151,تنظیمات!$D$2,Purchases!$K$4:$K$151,"تأیید شده")+SUMIFS(Purchases!$H$4:$H$151,Purchases!$M$4:$M$151,تنظیمات!$B$2,Purchases!$N$4:$N$151,تنظیمات!$D$2,Purchases!$K$4:$K$151,"تأیید شده")</f>
        <v/>
      </c>
      <c r="C10" s="12" t="inlineStr">
        <is>
          <t>تومان</t>
        </is>
      </c>
      <c r="D10" s="15" t="inlineStr">
        <is>
          <t>—</t>
        </is>
      </c>
      <c r="E10" s="14">
        <f>"—"</f>
        <v/>
      </c>
      <c r="F10" s="14">
        <f>""</f>
        <v/>
      </c>
    </row>
    <row r="11" ht="26" customHeight="1">
      <c r="A11" s="10" t="inlineStr">
        <is>
          <t>موجودی مواد اولیه</t>
        </is>
      </c>
      <c r="B11" s="16">
        <f>Inventory!C21</f>
        <v/>
      </c>
      <c r="C11" s="12" t="inlineStr">
        <is>
          <t>کیلوگرم</t>
        </is>
      </c>
      <c r="D11" s="17">
        <f>تنظیمات!C22</f>
        <v/>
      </c>
      <c r="E11" s="14">
        <f>IF(B11="","—",IF(B11&gt;=D11,"مطلوب",IF(B11&gt;=تنظیمات!D22,"نیاز به بررسی","بحرانی")))</f>
        <v/>
      </c>
      <c r="F11" s="14">
        <f>IF(E11="بحرانی",تنظیمات!G22,IF(E11="نیاز به بررسی","زیر نظر بگیرید — اگر تا پایان هفته سبز نشد اقدام کنید",IF(E11="مطلوب","","")))</f>
        <v/>
      </c>
    </row>
    <row r="12" ht="26" customHeight="1">
      <c r="A12" s="10" t="inlineStr">
        <is>
          <t>موجودی محصول نهایی</t>
        </is>
      </c>
      <c r="B12" s="16">
        <f>Inventory!C22</f>
        <v/>
      </c>
      <c r="C12" s="12" t="inlineStr">
        <is>
          <t>کیلوگرم</t>
        </is>
      </c>
      <c r="D12" s="17">
        <f>تنظیمات!C23</f>
        <v/>
      </c>
      <c r="E12" s="14">
        <f>IF(B12="","—",IF(B12&gt;=D12,"مطلوب",IF(B12&gt;=تنظیمات!D23,"نیاز به بررسی","بحرانی")))</f>
        <v/>
      </c>
      <c r="F12" s="14">
        <f>IF(E12="بحرانی",تنظیمات!G23,IF(E12="نیاز به بررسی","زیر نظر بگیرید — اگر تا پایان هفته سبز نشد اقدام کنید",IF(E12="مطلوب","","")))</f>
        <v/>
      </c>
    </row>
    <row r="13" ht="26" customHeight="1">
      <c r="A13" s="10" t="inlineStr">
        <is>
          <t>مقدار تولید</t>
        </is>
      </c>
      <c r="B13" s="16">
        <f>SUMIFS(Production!$E$4:$E$151,Production!$M$4:$M$151,تنظیمات!$B$2,Production!$N$4:$N$151,تنظیمات!$D$2)</f>
        <v/>
      </c>
      <c r="C13" s="12" t="inlineStr">
        <is>
          <t>کیلوگرم</t>
        </is>
      </c>
      <c r="D13" s="17">
        <f>تنظیمات!C24</f>
        <v/>
      </c>
      <c r="E13" s="14">
        <f>IF(B13="","—",IF(B13&gt;=D13,"مطلوب",IF(B13&gt;=تنظیمات!D24,"نیاز به بررسی","بحرانی")))</f>
        <v/>
      </c>
      <c r="F13" s="14">
        <f>IF(E13="بحرانی",تنظیمات!G24,IF(E13="نیاز به بررسی","زیر نظر بگیرید — اگر تا پایان هفته سبز نشد اقدام کنید",IF(E13="مطلوب","","")))</f>
        <v/>
      </c>
    </row>
    <row r="14" ht="26" customHeight="1">
      <c r="A14" s="10" t="inlineStr">
        <is>
          <t>درصد ضایعات</t>
        </is>
      </c>
      <c r="B14" s="18">
        <f>IFERROR(SUMIFS(Production!$F$4:$F$151,Production!$M$4:$M$151,تنظیمات!$B$2,Production!$N$4:$N$151,تنظیمات!$D$2)/SUMIFS(Production!$D$4:$D$151,Production!$M$4:$M$151,تنظیمات!$B$2,Production!$N$4:$N$151,تنظیمات!$D$2),0)</f>
        <v/>
      </c>
      <c r="C14" s="12" t="inlineStr">
        <is>
          <t>درصد</t>
        </is>
      </c>
      <c r="D14" s="19">
        <f>تنظیمات!C25</f>
        <v/>
      </c>
      <c r="E14" s="14">
        <f>IF(B14="","—",IF(B14&lt;=D14,"مطلوب",IF(B14&lt;=تنظیمات!D25,"نیاز به بررسی","بحرانی")))</f>
        <v/>
      </c>
      <c r="F14" s="14">
        <f>IF(E14="بحرانی",تنظیمات!G25,IF(E14="نیاز به بررسی","زیر نظر بگیرید — اگر تا پایان هفته سبز نشد اقدام کنید",IF(E14="مطلوب","","")))</f>
        <v/>
      </c>
    </row>
    <row r="15" ht="26" customHeight="1">
      <c r="A15" s="10" t="inlineStr">
        <is>
          <t>تعداد سفارش‌ها</t>
        </is>
      </c>
      <c r="B15" s="20">
        <f>COUNTIFS(Sales!$P$4:$P$151,تنظیمات!$B$2,Sales!$Q$4:$Q$151,تنظیمات!$D$2,Sales!$B$4:$B$151,"&lt;&gt;")</f>
        <v/>
      </c>
      <c r="C15" s="12" t="inlineStr">
        <is>
          <t>عدد</t>
        </is>
      </c>
      <c r="D15" s="21">
        <f>تنظیمات!C26</f>
        <v/>
      </c>
      <c r="E15" s="14">
        <f>IF(B15="","—",IF(B15&gt;=D15,"مطلوب",IF(B15&gt;=تنظیمات!D26,"نیاز به بررسی","بحرانی")))</f>
        <v/>
      </c>
      <c r="F15" s="14">
        <f>IF(E15="بحرانی",تنظیمات!G26,IF(E15="نیاز به بررسی","زیر نظر بگیرید — اگر تا پایان هفته سبز نشد اقدام کنید",IF(E15="مطلوب","","")))</f>
        <v/>
      </c>
    </row>
    <row r="16" ht="26" customHeight="1">
      <c r="A16" s="10" t="inlineStr">
        <is>
          <t>مشتریان جدید</t>
        </is>
      </c>
      <c r="B16" s="20">
        <f>SUMPRODUCT((Customers!$A$4:$A$151&lt;&gt;"")*(LEFT(Customers!$G$4:$G$151,7)=TEXT(تنظیمات!$B$2,"0")&amp;"/"&amp;IF(تنظیمات!$D$2&lt;10,"0","")&amp;TEXT(تنظیمات!$D$2,"0")))</f>
        <v/>
      </c>
      <c r="C16" s="12" t="inlineStr">
        <is>
          <t>نفر</t>
        </is>
      </c>
      <c r="D16" s="21">
        <f>تنظیمات!C27</f>
        <v/>
      </c>
      <c r="E16" s="14">
        <f>IF(B16="","—",IF(B16&gt;=D16,"مطلوب",IF(B16&gt;=تنظیمات!D27,"نیاز به بررسی","بحرانی")))</f>
        <v/>
      </c>
      <c r="F16" s="14">
        <f>IF(E16="بحرانی",تنظیمات!G27,IF(E16="نیاز به بررسی","زیر نظر بگیرید — اگر تا پایان هفته سبز نشد اقدام کنید",IF(E16="مطلوب","","")))</f>
        <v/>
      </c>
    </row>
    <row r="17" ht="26" customHeight="1">
      <c r="A17" s="10" t="inlineStr">
        <is>
          <t>مبلغ وصول‌شده</t>
        </is>
      </c>
      <c r="B17" s="11">
        <f>SUMIFS(Sales!$M$4:$M$151,Sales!$P$4:$P$151,تنظیمات!$B$2,Sales!$Q$4:$Q$151,تنظیمات!$D$2)</f>
        <v/>
      </c>
      <c r="C17" s="12" t="inlineStr">
        <is>
          <t>تومان</t>
        </is>
      </c>
      <c r="D17" s="13">
        <f>تنظیمات!C28</f>
        <v/>
      </c>
      <c r="E17" s="14">
        <f>IF(B17="","—",IF(B17&gt;=D17,"مطلوب",IF(B17&gt;=تنظیمات!D28,"نیاز به بررسی","بحرانی")))</f>
        <v/>
      </c>
      <c r="F17" s="14">
        <f>IF(E17="بحرانی",تنظیمات!G28,IF(E17="نیاز به بررسی","زیر نظر بگیرید — اگر تا پایان هفته سبز نشد اقدام کنید",IF(E17="مطلوب","","")))</f>
        <v/>
      </c>
    </row>
    <row r="18" ht="26" customHeight="1">
      <c r="A18" s="10" t="inlineStr">
        <is>
          <t>مطالبات (مانده باز)</t>
        </is>
      </c>
      <c r="B18" s="11">
        <f>SUMIF(Sales!$N$4:$N$151,"&gt;0")</f>
        <v/>
      </c>
      <c r="C18" s="12" t="inlineStr">
        <is>
          <t>تومان</t>
        </is>
      </c>
      <c r="D18" s="13">
        <f>تنظیمات!C29</f>
        <v/>
      </c>
      <c r="E18" s="14">
        <f>IF(B18="","—",IF(B18&lt;=D18,"مطلوب",IF(B18&lt;=تنظیمات!D29,"نیاز به بررسی","بحرانی")))</f>
        <v/>
      </c>
      <c r="F18" s="14">
        <f>IF(E18="بحرانی",تنظیمات!G29,IF(E18="نیاز به بررسی","زیر نظر بگیرید — اگر تا پایان هفته سبز نشد اقدام کنید",IF(E18="مطلوب","","")))</f>
        <v/>
      </c>
    </row>
    <row r="19" ht="26" customHeight="1">
      <c r="A19" s="10" t="inlineStr">
        <is>
          <t>هزینه‌ها</t>
        </is>
      </c>
      <c r="B19" s="11">
        <f>SUMIFS(Expenses!$D$4:$D$151,Expenses!$H$4:$H$151,تنظیمات!$B$2,Expenses!$I$4:$I$151,تنظیمات!$D$2)</f>
        <v/>
      </c>
      <c r="C19" s="12" t="inlineStr">
        <is>
          <t>تومان</t>
        </is>
      </c>
      <c r="D19" s="13">
        <f>تنظیمات!C30</f>
        <v/>
      </c>
      <c r="E19" s="14">
        <f>IF(B19="","—",IF(B19&lt;=D19,"مطلوب",IF(B19&lt;=تنظیمات!D30,"نیاز به بررسی","بحرانی")))</f>
        <v/>
      </c>
      <c r="F19" s="14">
        <f>IF(E19="بحرانی",تنظیمات!G30,IF(E19="نیاز به بررسی","زیر نظر بگیرید — اگر تا پایان هفته سبز نشد اقدام کنید",IF(E19="مطلوب","","")))</f>
        <v/>
      </c>
    </row>
    <row r="20" ht="26" customHeight="1">
      <c r="A20" s="10" t="inlineStr">
        <is>
          <t>درصد انجام ویزیت</t>
        </is>
      </c>
      <c r="B20" s="18">
        <f>IFERROR(SUMIFS(SalesRep!$E$4:$E$151,SalesRep!$O$4:$O$151,تنظیمات!$B$2,SalesRep!$P$4:$P$151,تنظیمات!$D$2)/SUMIFS(SalesRep!$D$4:$D$151,SalesRep!$O$4:$O$151,تنظیمات!$B$2,SalesRep!$P$4:$P$151,تنظیمات!$D$2),0)</f>
        <v/>
      </c>
      <c r="C20" s="12" t="inlineStr">
        <is>
          <t>درصد</t>
        </is>
      </c>
      <c r="D20" s="19">
        <f>تنظیمات!C31</f>
        <v/>
      </c>
      <c r="E20" s="14">
        <f>IF(B20="","—",IF(B20&gt;=D20,"مطلوب",IF(B20&gt;=تنظیمات!D31,"نیاز به بررسی","بحرانی")))</f>
        <v/>
      </c>
      <c r="F20" s="14">
        <f>IF(E20="بحرانی",تنظیمات!G31,IF(E20="نیاز به بررسی","زیر نظر بگیرید — اگر تا پایان هفته سبز نشد اقدام کنید",IF(E20="مطلوب","","")))</f>
        <v/>
      </c>
    </row>
    <row r="21" ht="26" customHeight="1">
      <c r="A21" s="10" t="inlineStr">
        <is>
          <t>نرخ تبدیل ویزیت به سفارش</t>
        </is>
      </c>
      <c r="B21" s="18">
        <f>IFERROR(SUMIFS(SalesRep!$F$4:$F$151,SalesRep!$O$4:$O$151,تنظیمات!$B$2,SalesRep!$P$4:$P$151,تنظیمات!$D$2)/SUMIFS(SalesRep!$E$4:$E$151,SalesRep!$O$4:$O$151,تنظیمات!$B$2,SalesRep!$P$4:$P$151,تنظیمات!$D$2),0)</f>
        <v/>
      </c>
      <c r="C21" s="12" t="inlineStr">
        <is>
          <t>درصد</t>
        </is>
      </c>
      <c r="D21" s="19">
        <f>تنظیمات!C32</f>
        <v/>
      </c>
      <c r="E21" s="14">
        <f>IF(B21="","—",IF(B21&gt;=D21,"مطلوب",IF(B21&gt;=تنظیمات!D32,"نیاز به بررسی","بحرانی")))</f>
        <v/>
      </c>
      <c r="F21" s="14">
        <f>IF(E21="بحرانی",تنظیمات!G32,IF(E21="نیاز به بررسی","زیر نظر بگیرید — اگر تا پایان هفته سبز نشد اقدام کنید",IF(E21="مطلوب","","")))</f>
        <v/>
      </c>
    </row>
    <row r="22" ht="26" customHeight="1">
      <c r="A22" s="10" t="inlineStr">
        <is>
          <t>درصد بارهای قبول‌شده</t>
        </is>
      </c>
      <c r="B22" s="18">
        <f>IFERROR(COUNTIFS(Purchases!$M$4:$M$151,تنظیمات!$B$2,Purchases!$N$4:$N$151,تنظیمات!$D$2,Purchases!$K$4:$K$151,"تأیید شده")/COUNTIFS(Purchases!$M$4:$M$151,تنظیمات!$B$2,Purchases!$N$4:$N$151,تنظیمات!$D$2,Purchases!$B$4:$B$151,"&lt;&gt;"),0)</f>
        <v/>
      </c>
      <c r="C22" s="12" t="inlineStr">
        <is>
          <t>درصد</t>
        </is>
      </c>
      <c r="D22" s="19">
        <f>تنظیمات!C33</f>
        <v/>
      </c>
      <c r="E22" s="14">
        <f>IF(B22="","—",IF(B22&gt;=D22,"مطلوب",IF(B22&gt;=تنظیمات!D33,"نیاز به بررسی","بحرانی")))</f>
        <v/>
      </c>
      <c r="F22" s="14">
        <f>IF(E22="بحرانی",تنظیمات!G33,IF(E22="نیاز به بررسی","زیر نظر بگیرید — اگر تا پایان هفته سبز نشد اقدام کنید",IF(E22="مطلوب","","")))</f>
        <v/>
      </c>
    </row>
    <row r="23">
      <c r="A23" s="22" t="inlineStr">
        <is>
          <t>چرخه کار: ثبت در برگه‌ها → محاسبه خودکار KPI → نگاه ۱۰ دقیقه‌ای به این صفحه → فقط روی قرمز/زرد اقدام → اصلاح</t>
        </is>
      </c>
    </row>
    <row r="41">
      <c r="A41" s="3" t="inlineStr">
        <is>
          <t>راهنمای سریع رنگ‌ها</t>
        </is>
      </c>
      <c r="B41" s="4" t="n"/>
      <c r="C41" s="4" t="n"/>
      <c r="D41" s="4" t="n"/>
      <c r="E41" s="4" t="n"/>
      <c r="F41" s="4" t="n"/>
      <c r="G41" s="4" t="n"/>
    </row>
    <row r="42">
      <c r="A42" s="23" t="inlineStr">
        <is>
          <t>مطلوب — ادامه بده</t>
        </is>
      </c>
      <c r="C42" s="24" t="inlineStr">
        <is>
          <t>نیاز به بررسی — این هفته زیر نظر</t>
        </is>
      </c>
      <c r="F42" s="25" t="inlineStr">
        <is>
          <t>بحرانی — امروز اقدام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25">
    <mergeCell ref="F11:G11"/>
    <mergeCell ref="F10:G10"/>
    <mergeCell ref="F16:G16"/>
    <mergeCell ref="F19:G19"/>
    <mergeCell ref="F7:G7"/>
    <mergeCell ref="F21:G21"/>
    <mergeCell ref="F12:G12"/>
    <mergeCell ref="F15:G15"/>
    <mergeCell ref="F5:G5"/>
    <mergeCell ref="F20:G20"/>
    <mergeCell ref="F18:G18"/>
    <mergeCell ref="F42:G42"/>
    <mergeCell ref="F17:G17"/>
    <mergeCell ref="F8:G8"/>
    <mergeCell ref="A1:G1"/>
    <mergeCell ref="A42:B42"/>
    <mergeCell ref="F22:G22"/>
    <mergeCell ref="F13:G13"/>
    <mergeCell ref="A41:G41"/>
    <mergeCell ref="F9:G9"/>
    <mergeCell ref="C42:E42"/>
    <mergeCell ref="A3:G3"/>
    <mergeCell ref="A2:G2"/>
    <mergeCell ref="F14:G14"/>
    <mergeCell ref="A23:G23"/>
  </mergeCells>
  <conditionalFormatting sqref="A3:G3">
    <cfRule type="expression" priority="1" dxfId="0">
      <formula>COUNTIF(E7:E22,"بحرانی")&gt;0</formula>
    </cfRule>
    <cfRule type="expression" priority="2" dxfId="1">
      <formula>AND(COUNTIF(E7:E22,"بحرانی")=0,COUNTIF(E7:E22,"نیاز به بررسی")&gt;0)</formula>
    </cfRule>
    <cfRule type="expression" priority="3" dxfId="2">
      <formula>AND(COUNTIF(E7:E22,"بحرانی")=0,COUNTIF(E7:E22,"نیاز به بررسی")=0)</formula>
    </cfRule>
  </conditionalFormatting>
  <conditionalFormatting sqref="E7:E22">
    <cfRule type="cellIs" priority="4" operator="equal" dxfId="3">
      <formula>"مطلوب"</formula>
    </cfRule>
    <cfRule type="cellIs" priority="5" operator="equal" dxfId="4">
      <formula>"نیاز به بررسی"</formula>
    </cfRule>
    <cfRule type="cellIs" priority="6" operator="equal" dxfId="5">
      <formula>"بحرانی"</formula>
    </cfRule>
  </conditionalFormatting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A6741"/>
    <outlinePr summaryBelow="1" summaryRight="1"/>
    <pageSetUpPr fitToPage="1"/>
  </sheetPr>
  <dimension ref="A1:G4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4" customWidth="1" min="4" max="4"/>
    <col width="14" customWidth="1" min="5" max="5"/>
    <col width="22" customWidth="1" min="6" max="6"/>
    <col width="62" customWidth="1" min="7" max="7"/>
  </cols>
  <sheetData>
    <row r="1" ht="32" customHeight="1">
      <c r="A1" s="3" t="inlineStr">
        <is>
          <t>تنظیمات و اهداف قابل‌تغییر — این اعداد چراغ داشبورد را عوض می‌کنند</t>
        </is>
      </c>
      <c r="B1" s="26" t="n"/>
      <c r="C1" s="26" t="n"/>
      <c r="D1" s="26" t="n"/>
      <c r="E1" s="26" t="n"/>
      <c r="F1" s="27" t="n"/>
    </row>
    <row r="2" ht="26" customHeight="1">
      <c r="A2" s="10" t="inlineStr">
        <is>
          <t>سال</t>
        </is>
      </c>
      <c r="B2" s="28" t="n">
        <v>1405</v>
      </c>
      <c r="C2" s="10" t="inlineStr">
        <is>
          <t>ماه</t>
        </is>
      </c>
      <c r="D2" s="28" t="n">
        <v>6</v>
      </c>
      <c r="E2" s="10" t="inlineStr">
        <is>
          <t>تاریخ امروز</t>
        </is>
      </c>
      <c r="F2" s="29" t="inlineStr">
        <is>
          <t>1405/06/18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3" t="inlineStr">
        <is>
          <t>مقدار</t>
        </is>
      </c>
      <c r="C4" s="3" t="inlineStr">
        <is>
          <t>توضیح</t>
        </is>
      </c>
    </row>
    <row r="5">
      <c r="A5" s="10" t="inlineStr">
        <is>
          <t>سال جاری</t>
        </is>
      </c>
      <c r="B5" s="13">
        <f>$B$2</f>
        <v/>
      </c>
      <c r="C5" s="30" t="inlineStr">
        <is>
          <t>سال شمسی گزارش داشبورد</t>
        </is>
      </c>
      <c r="D5" s="26" t="n"/>
      <c r="E5" s="26" t="n"/>
      <c r="F5" s="27" t="n"/>
    </row>
    <row r="6">
      <c r="A6" s="10" t="inlineStr">
        <is>
          <t>ماه جاری</t>
        </is>
      </c>
      <c r="B6" s="14">
        <f>$D$2</f>
        <v/>
      </c>
      <c r="C6" s="30" t="inlineStr">
        <is>
          <t>۱ تا ۱۲ — الان شهریور</t>
        </is>
      </c>
      <c r="D6" s="26" t="n"/>
      <c r="E6" s="26" t="n"/>
      <c r="F6" s="27" t="n"/>
    </row>
    <row r="7">
      <c r="A7" s="10" t="inlineStr">
        <is>
          <t>تاریخ امروز</t>
        </is>
      </c>
      <c r="B7" s="14">
        <f>$F$2</f>
        <v/>
      </c>
      <c r="C7" s="30" t="inlineStr">
        <is>
          <t>هر روز این را عوض کنید (فروش روزانه از روی این تاریخ است)</t>
        </is>
      </c>
      <c r="D7" s="26" t="n"/>
      <c r="E7" s="26" t="n"/>
      <c r="F7" s="27" t="n"/>
    </row>
    <row r="8">
      <c r="A8" s="10" t="inlineStr">
        <is>
          <t>نام کارگاه</t>
        </is>
      </c>
      <c r="B8" s="29" t="inlineStr">
        <is>
          <t>کارگاه بسته‌بندی حبوبات پلدختر</t>
        </is>
      </c>
      <c r="C8" s="30" t="inlineStr"/>
      <c r="D8" s="26" t="n"/>
      <c r="E8" s="26" t="n"/>
      <c r="F8" s="27" t="n"/>
    </row>
    <row r="9">
      <c r="A9" s="10" t="inlineStr">
        <is>
          <t>شهر</t>
        </is>
      </c>
      <c r="B9" s="29" t="inlineStr">
        <is>
          <t>پلدختر</t>
        </is>
      </c>
      <c r="C9" s="30" t="inlineStr"/>
      <c r="D9" s="26" t="n"/>
      <c r="E9" s="26" t="n"/>
      <c r="F9" s="27" t="n"/>
    </row>
    <row r="10">
      <c r="A10" s="10" t="inlineStr">
        <is>
          <t>آستانه مشتری A (تومان)</t>
        </is>
      </c>
      <c r="B10" s="31" t="n">
        <v>20000000</v>
      </c>
      <c r="C10" s="30" t="inlineStr">
        <is>
          <t>مجموع خرید بالاتر از این = مشتری A</t>
        </is>
      </c>
      <c r="D10" s="26" t="n"/>
      <c r="E10" s="26" t="n"/>
      <c r="F10" s="27" t="n"/>
    </row>
    <row r="11">
      <c r="A11" s="10" t="inlineStr">
        <is>
          <t>آستانه مشتری B (تومان)</t>
        </is>
      </c>
      <c r="B11" s="31" t="n">
        <v>5000000</v>
      </c>
      <c r="C11" s="30" t="inlineStr">
        <is>
          <t>بین B و A = مشتری B، کمتر = C</t>
        </is>
      </c>
      <c r="D11" s="26" t="n"/>
      <c r="E11" s="26" t="n"/>
      <c r="F11" s="27" t="n"/>
    </row>
    <row r="12">
      <c r="A12" s="10" t="inlineStr">
        <is>
          <t>حداقل موجودی مواد (کیلو)</t>
        </is>
      </c>
      <c r="B12" s="31" t="n">
        <v>200</v>
      </c>
      <c r="C12" s="30" t="inlineStr">
        <is>
          <t>کمتر از این در انبار مواد = هشدار</t>
        </is>
      </c>
      <c r="D12" s="26" t="n"/>
      <c r="E12" s="26" t="n"/>
      <c r="F12" s="27" t="n"/>
    </row>
    <row r="13">
      <c r="A13" s="10" t="inlineStr">
        <is>
          <t>حداقل موجودی محصول (کیلو)</t>
        </is>
      </c>
      <c r="B13" s="29" t="n">
        <v>80</v>
      </c>
      <c r="C13" s="30" t="inlineStr">
        <is>
          <t>کمتر از این در محصول نهایی = هشدار</t>
        </is>
      </c>
      <c r="D13" s="26" t="n"/>
      <c r="E13" s="26" t="n"/>
      <c r="F13" s="27" t="n"/>
    </row>
    <row r="16">
      <c r="A16" s="3" t="inlineStr">
        <is>
          <t>۲) اهداف KPI — مقدار مطلوب و آستانه بررسی را خودتان عوض کنید</t>
        </is>
      </c>
      <c r="B16" s="4" t="n"/>
      <c r="C16" s="4" t="n"/>
      <c r="D16" s="4" t="n"/>
      <c r="E16" s="4" t="n"/>
      <c r="F16" s="4" t="n"/>
      <c r="G16" s="4" t="n"/>
    </row>
    <row r="17">
      <c r="A17" s="3" t="inlineStr">
        <is>
          <t>شناسه</t>
        </is>
      </c>
      <c r="B17" s="3" t="inlineStr">
        <is>
          <t>شاخص</t>
        </is>
      </c>
      <c r="C17" s="3" t="inlineStr">
        <is>
          <t>هدف مطلوب (سبز)</t>
        </is>
      </c>
      <c r="D17" s="3" t="inlineStr">
        <is>
          <t>آستانه بررسی (زرد)</t>
        </is>
      </c>
      <c r="E17" s="3" t="inlineStr">
        <is>
          <t>جهت</t>
        </is>
      </c>
      <c r="F17" s="3" t="inlineStr">
        <is>
          <t>واحد</t>
        </is>
      </c>
      <c r="G17" s="3" t="inlineStr">
        <is>
          <t>اقدام وقتی قرمز شد</t>
        </is>
      </c>
    </row>
    <row r="18" ht="22" customHeight="1">
      <c r="A18" s="12" t="inlineStr">
        <is>
          <t>sales_day</t>
        </is>
      </c>
      <c r="B18" s="10" t="inlineStr">
        <is>
          <t>فروش روزانه</t>
        </is>
      </c>
      <c r="C18" s="31" t="n">
        <v>3000000</v>
      </c>
      <c r="D18" s="31" t="n">
        <v>1500000</v>
      </c>
      <c r="E18" s="15" t="inlineStr">
        <is>
          <t>higher</t>
        </is>
      </c>
      <c r="F18" s="15" t="inlineStr">
        <is>
          <t>تومان</t>
        </is>
      </c>
      <c r="G18" s="29" t="inlineStr">
        <is>
          <t>امروز فروش ضعیف است. با ویزیتور تماس بگیرید و مسیر را چک کنید.</t>
        </is>
      </c>
    </row>
    <row r="19" ht="22" customHeight="1">
      <c r="A19" s="12" t="inlineStr">
        <is>
          <t>sales_month</t>
        </is>
      </c>
      <c r="B19" s="10" t="inlineStr">
        <is>
          <t>فروش ماهانه</t>
        </is>
      </c>
      <c r="C19" s="31" t="n">
        <v>80000000</v>
      </c>
      <c r="D19" s="31" t="n">
        <v>50000000</v>
      </c>
      <c r="E19" s="15" t="inlineStr">
        <is>
          <t>higher</t>
        </is>
      </c>
      <c r="F19" s="15" t="inlineStr">
        <is>
          <t>تومان</t>
        </is>
      </c>
      <c r="G19" s="29" t="inlineStr">
        <is>
          <t>فروش ماه از کف فاصله گرفته. برنامه ویزیت و تخفیف هدفمند بگذارید.</t>
        </is>
      </c>
    </row>
    <row r="20" ht="22" customHeight="1">
      <c r="A20" s="12" t="inlineStr">
        <is>
          <t>gross_profit</t>
        </is>
      </c>
      <c r="B20" s="10" t="inlineStr">
        <is>
          <t>سود ناخالص</t>
        </is>
      </c>
      <c r="C20" s="31" t="n">
        <v>15000000</v>
      </c>
      <c r="D20" s="31" t="n">
        <v>3000000</v>
      </c>
      <c r="E20" s="15" t="inlineStr">
        <is>
          <t>higher</t>
        </is>
      </c>
      <c r="F20" s="15" t="inlineStr">
        <is>
          <t>تومان</t>
        </is>
      </c>
      <c r="G20" s="29" t="inlineStr">
        <is>
          <t>سود ناکافی است. قیمت خرید یا فروش یا هزینه‌ها را بازبینی کنید.</t>
        </is>
      </c>
    </row>
    <row r="21" ht="22" customHeight="1">
      <c r="A21" s="12" t="inlineStr">
        <is>
          <t>purchases</t>
        </is>
      </c>
      <c r="B21" s="10" t="inlineStr">
        <is>
          <t>خرید مواد اولیه</t>
        </is>
      </c>
      <c r="C21" s="32" t="inlineStr">
        <is>
          <t>—</t>
        </is>
      </c>
      <c r="D21" s="32" t="inlineStr">
        <is>
          <t>—</t>
        </is>
      </c>
      <c r="E21" s="15" t="inlineStr">
        <is>
          <t>info</t>
        </is>
      </c>
      <c r="F21" s="15" t="inlineStr">
        <is>
          <t>تومان</t>
        </is>
      </c>
      <c r="G21" s="29" t="inlineStr"/>
    </row>
    <row r="22" ht="22" customHeight="1">
      <c r="A22" s="12" t="inlineStr">
        <is>
          <t>raw_stock</t>
        </is>
      </c>
      <c r="B22" s="10" t="inlineStr">
        <is>
          <t>موجودی مواد اولیه</t>
        </is>
      </c>
      <c r="C22" s="33" t="n">
        <v>200</v>
      </c>
      <c r="D22" s="33" t="n">
        <v>80</v>
      </c>
      <c r="E22" s="15" t="inlineStr">
        <is>
          <t>higher</t>
        </is>
      </c>
      <c r="F22" s="15" t="inlineStr">
        <is>
          <t>کیلوگرم</t>
        </is>
      </c>
      <c r="G22" s="29" t="inlineStr">
        <is>
          <t>مواد اولیه رو به اتمام است. امروز خرید هماهنگ کنید.</t>
        </is>
      </c>
    </row>
    <row r="23" ht="22" customHeight="1">
      <c r="A23" s="12" t="inlineStr">
        <is>
          <t>fin_stock</t>
        </is>
      </c>
      <c r="B23" s="10" t="inlineStr">
        <is>
          <t>موجودی محصول نهایی</t>
        </is>
      </c>
      <c r="C23" s="33" t="n">
        <v>80</v>
      </c>
      <c r="D23" s="33" t="n">
        <v>30</v>
      </c>
      <c r="E23" s="15" t="inlineStr">
        <is>
          <t>higher</t>
        </is>
      </c>
      <c r="F23" s="15" t="inlineStr">
        <is>
          <t>کیلوگرم</t>
        </is>
      </c>
      <c r="G23" s="29" t="inlineStr">
        <is>
          <t>محصول آماده کم است. خط تولید را اولویت بدهید.</t>
        </is>
      </c>
    </row>
    <row r="24" ht="22" customHeight="1">
      <c r="A24" s="12" t="inlineStr">
        <is>
          <t>production</t>
        </is>
      </c>
      <c r="B24" s="10" t="inlineStr">
        <is>
          <t>مقدار تولید</t>
        </is>
      </c>
      <c r="C24" s="33" t="n">
        <v>700</v>
      </c>
      <c r="D24" s="33" t="n">
        <v>350</v>
      </c>
      <c r="E24" s="15" t="inlineStr">
        <is>
          <t>higher</t>
        </is>
      </c>
      <c r="F24" s="15" t="inlineStr">
        <is>
          <t>کیلوگرم</t>
        </is>
      </c>
      <c r="G24" s="29" t="inlineStr">
        <is>
          <t>تولید این ماه کم است. برنامه پاک‌کنی و بسته‌بندی را ببینید.</t>
        </is>
      </c>
    </row>
    <row r="25" ht="22" customHeight="1">
      <c r="A25" s="12" t="inlineStr">
        <is>
          <t>waste</t>
        </is>
      </c>
      <c r="B25" s="10" t="inlineStr">
        <is>
          <t>درصد ضایعات</t>
        </is>
      </c>
      <c r="C25" s="34" t="n">
        <v>0.03</v>
      </c>
      <c r="D25" s="34" t="n">
        <v>0.06</v>
      </c>
      <c r="E25" s="15" t="inlineStr">
        <is>
          <t>lower</t>
        </is>
      </c>
      <c r="F25" s="15" t="inlineStr">
        <is>
          <t>درصد</t>
        </is>
      </c>
      <c r="G25" s="29" t="inlineStr">
        <is>
          <t>ضایعات بحرانی است. کیفیت خرید و کار پاک‌کنی را همان امروز بررسی کنید.</t>
        </is>
      </c>
    </row>
    <row r="26" ht="22" customHeight="1">
      <c r="A26" s="12" t="inlineStr">
        <is>
          <t>orders</t>
        </is>
      </c>
      <c r="B26" s="10" t="inlineStr">
        <is>
          <t>تعداد سفارش‌ها</t>
        </is>
      </c>
      <c r="C26" s="33" t="n">
        <v>15</v>
      </c>
      <c r="D26" s="33" t="n">
        <v>8</v>
      </c>
      <c r="E26" s="15" t="inlineStr">
        <is>
          <t>higher</t>
        </is>
      </c>
      <c r="F26" s="15" t="inlineStr">
        <is>
          <t>عدد</t>
        </is>
      </c>
      <c r="G26" s="29" t="inlineStr">
        <is>
          <t>سفارش کم است. ویزیتور باید مسیرهای خوابیده را بیدار کند.</t>
        </is>
      </c>
    </row>
    <row r="27" ht="22" customHeight="1">
      <c r="A27" s="12" t="inlineStr">
        <is>
          <t>new_cust</t>
        </is>
      </c>
      <c r="B27" s="10" t="inlineStr">
        <is>
          <t>مشتریان جدید</t>
        </is>
      </c>
      <c r="C27" s="33" t="n">
        <v>3</v>
      </c>
      <c r="D27" s="33" t="n">
        <v>1</v>
      </c>
      <c r="E27" s="15" t="inlineStr">
        <is>
          <t>higher</t>
        </is>
      </c>
      <c r="F27" s="15" t="inlineStr">
        <is>
          <t>نفر</t>
        </is>
      </c>
      <c r="G27" s="29" t="inlineStr">
        <is>
          <t>مشتری جدید جذب نشده. یک نیم‌روز را به مشتری‌یابی اختصاص دهید.</t>
        </is>
      </c>
    </row>
    <row r="28" ht="22" customHeight="1">
      <c r="A28" s="12" t="inlineStr">
        <is>
          <t>collected</t>
        </is>
      </c>
      <c r="B28" s="10" t="inlineStr">
        <is>
          <t>مبلغ وصول‌شده</t>
        </is>
      </c>
      <c r="C28" s="31" t="n">
        <v>50000000</v>
      </c>
      <c r="D28" s="31" t="n">
        <v>30000000</v>
      </c>
      <c r="E28" s="15" t="inlineStr">
        <is>
          <t>higher</t>
        </is>
      </c>
      <c r="F28" s="15" t="inlineStr">
        <is>
          <t>تومان</t>
        </is>
      </c>
      <c r="G28" s="29" t="inlineStr">
        <is>
          <t>وصول ضعیف است. مطالبات مشتری‌های A را امروز پیگیری کنید.</t>
        </is>
      </c>
    </row>
    <row r="29" ht="22" customHeight="1">
      <c r="A29" s="12" t="inlineStr">
        <is>
          <t>receivables</t>
        </is>
      </c>
      <c r="B29" s="10" t="inlineStr">
        <is>
          <t>مطالبات</t>
        </is>
      </c>
      <c r="C29" s="31" t="n">
        <v>12000000</v>
      </c>
      <c r="D29" s="31" t="n">
        <v>25000000</v>
      </c>
      <c r="E29" s="15" t="inlineStr">
        <is>
          <t>lower</t>
        </is>
      </c>
      <c r="F29" s="15" t="inlineStr">
        <is>
          <t>تومان</t>
        </is>
      </c>
      <c r="G29" s="29" t="inlineStr">
        <is>
          <t>مطالبات بالاست. تا وصول نشود سفارش نسیه جدید ندهید.</t>
        </is>
      </c>
    </row>
    <row r="30" ht="22" customHeight="1">
      <c r="A30" s="12" t="inlineStr">
        <is>
          <t>expenses</t>
        </is>
      </c>
      <c r="B30" s="10" t="inlineStr">
        <is>
          <t>هزینه‌ها</t>
        </is>
      </c>
      <c r="C30" s="31" t="n">
        <v>25000000</v>
      </c>
      <c r="D30" s="31" t="n">
        <v>45000000</v>
      </c>
      <c r="E30" s="15" t="inlineStr">
        <is>
          <t>lower</t>
        </is>
      </c>
      <c r="F30" s="15" t="inlineStr">
        <is>
          <t>تومان</t>
        </is>
      </c>
      <c r="G30" s="29" t="inlineStr">
        <is>
          <t>هزینه از سقف گذشته. خرید غیرضروری را متوقف کنید.</t>
        </is>
      </c>
    </row>
    <row r="31" ht="22" customHeight="1">
      <c r="A31" s="12" t="inlineStr">
        <is>
          <t>visit_rate</t>
        </is>
      </c>
      <c r="B31" s="10" t="inlineStr">
        <is>
          <t>درصد انجام ویزیت</t>
        </is>
      </c>
      <c r="C31" s="34" t="n">
        <v>0.8</v>
      </c>
      <c r="D31" s="34" t="n">
        <v>0.6</v>
      </c>
      <c r="E31" s="15" t="inlineStr">
        <is>
          <t>higher</t>
        </is>
      </c>
      <c r="F31" s="15" t="inlineStr">
        <is>
          <t>درصد</t>
        </is>
      </c>
      <c r="G31" s="29" t="inlineStr">
        <is>
          <t>ویزیت‌ها طبق برنامه نیست. علت جا ماندن مسیر را بپرسید.</t>
        </is>
      </c>
    </row>
    <row r="32" ht="22" customHeight="1">
      <c r="A32" s="12" t="inlineStr">
        <is>
          <t>conversion</t>
        </is>
      </c>
      <c r="B32" s="10" t="inlineStr">
        <is>
          <t>نرخ تبدیل ویزیت به سفارش</t>
        </is>
      </c>
      <c r="C32" s="34" t="n">
        <v>0.4</v>
      </c>
      <c r="D32" s="34" t="n">
        <v>0.25</v>
      </c>
      <c r="E32" s="15" t="inlineStr">
        <is>
          <t>higher</t>
        </is>
      </c>
      <c r="F32" s="15" t="inlineStr">
        <is>
          <t>درصد</t>
        </is>
      </c>
      <c r="G32" s="29" t="inlineStr">
        <is>
          <t>ویزیت به فروش تبدیل نمی‌شود. قیمت، موجودی یا کیفیت را بررسی کنید.</t>
        </is>
      </c>
    </row>
    <row r="33" ht="22" customHeight="1">
      <c r="A33" s="12" t="inlineStr">
        <is>
          <t>accept_rate</t>
        </is>
      </c>
      <c r="B33" s="10" t="inlineStr">
        <is>
          <t>درصد بارهای قبول‌شده</t>
        </is>
      </c>
      <c r="C33" s="34" t="n">
        <v>0.9</v>
      </c>
      <c r="D33" s="34" t="n">
        <v>0.75</v>
      </c>
      <c r="E33" s="15" t="inlineStr">
        <is>
          <t>higher</t>
        </is>
      </c>
      <c r="F33" s="15" t="inlineStr">
        <is>
          <t>درصد</t>
        </is>
      </c>
      <c r="G33" s="29" t="inlineStr">
        <is>
          <t>بارهای زیادی رد می‌شود. تأمین‌کننده را عوض یا تذکر دهید.</t>
        </is>
      </c>
    </row>
    <row r="35">
      <c r="A35" s="3" t="inlineStr">
        <is>
          <t>۳) معنی چراغ‌ها</t>
        </is>
      </c>
      <c r="B35" s="4" t="n"/>
      <c r="C35" s="4" t="n"/>
      <c r="D35" s="4" t="n"/>
      <c r="E35" s="4" t="n"/>
      <c r="F35" s="4" t="n"/>
      <c r="G35" s="4" t="n"/>
    </row>
    <row r="36">
      <c r="A36" s="35" t="inlineStr">
        <is>
          <t>مطلوب</t>
        </is>
      </c>
      <c r="B36" s="5" t="inlineStr">
        <is>
          <t>همه‌چیز در محدوده هدف است. دخالت لازم نیست.</t>
        </is>
      </c>
      <c r="C36" s="36" t="n"/>
      <c r="D36" s="36" t="n"/>
      <c r="E36" s="36" t="n"/>
      <c r="F36" s="36" t="n"/>
      <c r="G36" s="36" t="n"/>
    </row>
    <row r="37">
      <c r="A37" s="37" t="inlineStr">
        <is>
          <t>نیاز به بررسی</t>
        </is>
      </c>
      <c r="B37" s="5" t="inlineStr">
        <is>
          <t>در حال فاصله گرفتن از هدف. این هفته زیر نظر بگیرید.</t>
        </is>
      </c>
      <c r="C37" s="36" t="n"/>
      <c r="D37" s="36" t="n"/>
      <c r="E37" s="36" t="n"/>
      <c r="F37" s="36" t="n"/>
      <c r="G37" s="36" t="n"/>
    </row>
    <row r="38">
      <c r="A38" s="38" t="inlineStr">
        <is>
          <t>بحرانی</t>
        </is>
      </c>
      <c r="B38" s="5" t="inlineStr">
        <is>
          <t>همان روز اقدام کنید. متن اقدام در ستون آخر جدول بالاست.</t>
        </is>
      </c>
      <c r="C38" s="36" t="n"/>
      <c r="D38" s="36" t="n"/>
      <c r="E38" s="36" t="n"/>
      <c r="F38" s="36" t="n"/>
      <c r="G38" s="36" t="n"/>
    </row>
    <row r="39">
      <c r="A39" s="39" t="inlineStr">
        <is>
          <t>—</t>
        </is>
      </c>
      <c r="B39" s="5" t="inlineStr">
        <is>
          <t>شاخص اطلاعاتی است یا هنوز داده‌ای وارد نشده.</t>
        </is>
      </c>
      <c r="C39" s="36" t="n"/>
      <c r="D39" s="36" t="n"/>
      <c r="E39" s="36" t="n"/>
      <c r="F39" s="36" t="n"/>
      <c r="G39" s="36" t="n"/>
    </row>
    <row r="41">
      <c r="A41" s="40" t="inlineStr">
        <is>
          <t>نکته تاریخ شمسی: تاریخ‌ها را همیشه به صورت متن ۱۰ کاراکتری سال/ماه/روز وارد کنید؛ مثال ۱۴۰۵/۰۶/۱۸ را با اعداد انگلیسی بنویسید: 1405/06/18. سال و ماه داشبورد از ردیف ۲ همین برگه خوانده می‌شود. سلول‌های کرم‌رنگ را می‌توانید عوض کنید؛ سلول‌های خاکستری فرمول هستند.</t>
        </is>
      </c>
    </row>
    <row r="42"/>
    <row r="43"/>
    <row r="44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19">
    <mergeCell ref="C8:F8"/>
    <mergeCell ref="A2:A4"/>
    <mergeCell ref="A35:G35"/>
    <mergeCell ref="C7:F7"/>
    <mergeCell ref="A3:F3"/>
    <mergeCell ref="C13:F13"/>
    <mergeCell ref="B38:G38"/>
    <mergeCell ref="B37:G37"/>
    <mergeCell ref="C6:F6"/>
    <mergeCell ref="A41:G44"/>
    <mergeCell ref="C5:F5"/>
    <mergeCell ref="A1:G1"/>
    <mergeCell ref="B36:G36"/>
    <mergeCell ref="A16:G16"/>
    <mergeCell ref="C10:F10"/>
    <mergeCell ref="C9:F9"/>
    <mergeCell ref="C12:F12"/>
    <mergeCell ref="C11:F11"/>
    <mergeCell ref="B39:G39"/>
  </mergeCell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N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0" customWidth="1" min="10" max="10"/>
    <col width="14" customWidth="1" min="11" max="11"/>
    <col width="28" customWidth="1" min="12" max="12"/>
    <col width="8" customWidth="1" min="13" max="13"/>
    <col width="8" customWidth="1" min="14" max="14"/>
  </cols>
  <sheetData>
    <row r="1" ht="28" customHeight="1">
      <c r="A1" s="1" t="inlineStr">
        <is>
          <t>خرید مواد اولیه</t>
        </is>
      </c>
    </row>
    <row r="2" ht="20" customHeight="1">
      <c r="A2" s="22" t="inlineStr">
        <is>
          <t>سلول کرم = ورود اطلاعات | خاکستری = محاسبه خودکار | تاریخ: 1405/06/18 | فقط بار «تأیید شده» وارد موجودی و هزینه می‌شود</t>
        </is>
      </c>
    </row>
    <row r="3" ht="28" customHeight="1">
      <c r="A3" s="3" t="inlineStr">
        <is>
          <t>ردیف</t>
        </is>
      </c>
      <c r="B3" s="3" t="inlineStr">
        <is>
          <t>تاریخ شمسی</t>
        </is>
      </c>
      <c r="C3" s="3" t="inlineStr">
        <is>
          <t>تأمین‌کننده</t>
        </is>
      </c>
      <c r="D3" s="3" t="inlineStr">
        <is>
          <t>نوع حبوبات</t>
        </is>
      </c>
      <c r="E3" s="3" t="inlineStr">
        <is>
          <t>مقدار (کیلو)</t>
        </is>
      </c>
      <c r="F3" s="3" t="inlineStr">
        <is>
          <t>قیمت هر کیلو</t>
        </is>
      </c>
      <c r="G3" s="3" t="inlineStr">
        <is>
          <t>مبلغ کل</t>
        </is>
      </c>
      <c r="H3" s="3" t="inlineStr">
        <is>
          <t>هزینه حمل</t>
        </is>
      </c>
      <c r="I3" s="3" t="inlineStr">
        <is>
          <t>قیمت تمام‌شده هر کیلو</t>
        </is>
      </c>
      <c r="J3" s="3" t="inlineStr">
        <is>
          <t>کیفیت</t>
        </is>
      </c>
      <c r="K3" s="3" t="inlineStr">
        <is>
          <t>وضعیت تأیید</t>
        </is>
      </c>
      <c r="L3" s="3" t="inlineStr">
        <is>
          <t>توضیحات</t>
        </is>
      </c>
      <c r="M3" s="3" t="inlineStr">
        <is>
          <t>سال</t>
        </is>
      </c>
      <c r="N3" s="3" t="inlineStr">
        <is>
          <t>ماه</t>
        </is>
      </c>
    </row>
    <row r="4" ht="20" customHeight="1">
      <c r="A4" s="21">
        <f>IF(B4="","",ROW()-3)</f>
        <v/>
      </c>
      <c r="B4" s="29" t="inlineStr">
        <is>
          <t>1405/04/18</t>
        </is>
      </c>
      <c r="C4" s="29" t="inlineStr">
        <is>
          <t>موجودی اول دوره</t>
        </is>
      </c>
      <c r="D4" s="29" t="inlineStr">
        <is>
          <t>لوبیا چیتی</t>
        </is>
      </c>
      <c r="E4" s="41" t="n">
        <v>180</v>
      </c>
      <c r="F4" s="31" t="n">
        <v>90000</v>
      </c>
      <c r="G4" s="13">
        <f>IF(OR(E4="",F4=""),"",E4*F4)</f>
        <v/>
      </c>
      <c r="H4" s="31" t="n">
        <v>0</v>
      </c>
      <c r="I4" s="13">
        <f>IF(OR(E4="",E4=0),"",(G4+IF(H4="",0,H4))/E4)</f>
        <v/>
      </c>
      <c r="J4" s="29" t="inlineStr">
        <is>
          <t>خوب</t>
        </is>
      </c>
      <c r="K4" s="29" t="inlineStr">
        <is>
          <t>تأیید شده</t>
        </is>
      </c>
      <c r="L4" s="29" t="inlineStr">
        <is>
          <t>موجودی ابتدای کار</t>
        </is>
      </c>
      <c r="M4" s="21">
        <f>IF(B4="","",VALUE(LEFT(B4,4)))</f>
        <v/>
      </c>
      <c r="N4" s="21">
        <f>IF(B4="","",VALUE(MID(B4,6,2)))</f>
        <v/>
      </c>
    </row>
    <row r="5" ht="20" customHeight="1">
      <c r="A5" s="21">
        <f>IF(B5="","",ROW()-3)</f>
        <v/>
      </c>
      <c r="B5" s="29" t="inlineStr">
        <is>
          <t>1405/04/18</t>
        </is>
      </c>
      <c r="C5" s="29" t="inlineStr">
        <is>
          <t>موجودی اول دوره</t>
        </is>
      </c>
      <c r="D5" s="29" t="inlineStr">
        <is>
          <t>عدس</t>
        </is>
      </c>
      <c r="E5" s="41" t="n">
        <v>80</v>
      </c>
      <c r="F5" s="31" t="n">
        <v>74000</v>
      </c>
      <c r="G5" s="13">
        <f>IF(OR(E5="",F5=""),"",E5*F5)</f>
        <v/>
      </c>
      <c r="H5" s="31" t="n">
        <v>0</v>
      </c>
      <c r="I5" s="13">
        <f>IF(OR(E5="",E5=0),"",(G5+IF(H5="",0,H5))/E5)</f>
        <v/>
      </c>
      <c r="J5" s="29" t="inlineStr">
        <is>
          <t>خوب</t>
        </is>
      </c>
      <c r="K5" s="29" t="inlineStr">
        <is>
          <t>تأیید شده</t>
        </is>
      </c>
      <c r="L5" s="29" t="inlineStr">
        <is>
          <t>موجودی ابتدای کار</t>
        </is>
      </c>
      <c r="M5" s="21">
        <f>IF(B5="","",VALUE(LEFT(B5,4)))</f>
        <v/>
      </c>
      <c r="N5" s="21">
        <f>IF(B5="","",VALUE(MID(B5,6,2)))</f>
        <v/>
      </c>
    </row>
    <row r="6" ht="20" customHeight="1">
      <c r="A6" s="21">
        <f>IF(B6="","",ROW()-3)</f>
        <v/>
      </c>
      <c r="B6" s="29" t="inlineStr">
        <is>
          <t>1405/04/18</t>
        </is>
      </c>
      <c r="C6" s="29" t="inlineStr">
        <is>
          <t>موجودی اول دوره</t>
        </is>
      </c>
      <c r="D6" s="29" t="inlineStr">
        <is>
          <t>نخود</t>
        </is>
      </c>
      <c r="E6" s="41" t="n">
        <v>90</v>
      </c>
      <c r="F6" s="31" t="n">
        <v>66000</v>
      </c>
      <c r="G6" s="13">
        <f>IF(OR(E6="",F6=""),"",E6*F6)</f>
        <v/>
      </c>
      <c r="H6" s="31" t="n">
        <v>0</v>
      </c>
      <c r="I6" s="13">
        <f>IF(OR(E6="",E6=0),"",(G6+IF(H6="",0,H6))/E6)</f>
        <v/>
      </c>
      <c r="J6" s="29" t="inlineStr">
        <is>
          <t>خوب</t>
        </is>
      </c>
      <c r="K6" s="29" t="inlineStr">
        <is>
          <t>تأیید شده</t>
        </is>
      </c>
      <c r="L6" s="29" t="inlineStr">
        <is>
          <t>موجودی ابتدای کار</t>
        </is>
      </c>
      <c r="M6" s="21">
        <f>IF(B6="","",VALUE(LEFT(B6,4)))</f>
        <v/>
      </c>
      <c r="N6" s="21">
        <f>IF(B6="","",VALUE(MID(B6,6,2)))</f>
        <v/>
      </c>
    </row>
    <row r="7" ht="20" customHeight="1">
      <c r="A7" s="21">
        <f>IF(B7="","",ROW()-3)</f>
        <v/>
      </c>
      <c r="B7" s="29" t="inlineStr">
        <is>
          <t>1405/05/20</t>
        </is>
      </c>
      <c r="C7" s="29" t="inlineStr">
        <is>
          <t>کشاورز بروجرد</t>
        </is>
      </c>
      <c r="D7" s="29" t="inlineStr">
        <is>
          <t>لوبیا قرمز</t>
        </is>
      </c>
      <c r="E7" s="41" t="n">
        <v>120</v>
      </c>
      <c r="F7" s="31" t="n">
        <v>84000</v>
      </c>
      <c r="G7" s="13">
        <f>IF(OR(E7="",F7=""),"",E7*F7)</f>
        <v/>
      </c>
      <c r="H7" s="31" t="n">
        <v>1800000</v>
      </c>
      <c r="I7" s="13">
        <f>IF(OR(E7="",E7=0),"",(G7+IF(H7="",0,H7))/E7)</f>
        <v/>
      </c>
      <c r="J7" s="29" t="inlineStr">
        <is>
          <t>خوب</t>
        </is>
      </c>
      <c r="K7" s="29" t="inlineStr">
        <is>
          <t>تأیید شده</t>
        </is>
      </c>
      <c r="L7" s="29" t="inlineStr"/>
      <c r="M7" s="21">
        <f>IF(B7="","",VALUE(LEFT(B7,4)))</f>
        <v/>
      </c>
      <c r="N7" s="21">
        <f>IF(B7="","",VALUE(MID(B7,6,2)))</f>
        <v/>
      </c>
    </row>
    <row r="8" ht="20" customHeight="1">
      <c r="A8" s="21">
        <f>IF(B8="","",ROW()-3)</f>
        <v/>
      </c>
      <c r="B8" s="29" t="inlineStr">
        <is>
          <t>1405/06/02</t>
        </is>
      </c>
      <c r="C8" s="29" t="inlineStr">
        <is>
          <t>کشاورز بروجرد</t>
        </is>
      </c>
      <c r="D8" s="29" t="inlineStr">
        <is>
          <t>لوبیا چیتی</t>
        </is>
      </c>
      <c r="E8" s="41" t="n">
        <v>400</v>
      </c>
      <c r="F8" s="31" t="n">
        <v>92000</v>
      </c>
      <c r="G8" s="13">
        <f>IF(OR(E8="",F8=""),"",E8*F8)</f>
        <v/>
      </c>
      <c r="H8" s="31" t="n">
        <v>2500000</v>
      </c>
      <c r="I8" s="13">
        <f>IF(OR(E8="",E8=0),"",(G8+IF(H8="",0,H8))/E8)</f>
        <v/>
      </c>
      <c r="J8" s="29" t="inlineStr">
        <is>
          <t>عالی</t>
        </is>
      </c>
      <c r="K8" s="29" t="inlineStr">
        <is>
          <t>تأیید شده</t>
        </is>
      </c>
      <c r="L8" s="29" t="inlineStr">
        <is>
          <t>بار تازه</t>
        </is>
      </c>
      <c r="M8" s="21">
        <f>IF(B8="","",VALUE(LEFT(B8,4)))</f>
        <v/>
      </c>
      <c r="N8" s="21">
        <f>IF(B8="","",VALUE(MID(B8,6,2)))</f>
        <v/>
      </c>
    </row>
    <row r="9" ht="20" customHeight="1">
      <c r="A9" s="21">
        <f>IF(B9="","",ROW()-3)</f>
        <v/>
      </c>
      <c r="B9" s="29" t="inlineStr">
        <is>
          <t>1405/06/04</t>
        </is>
      </c>
      <c r="C9" s="29" t="inlineStr">
        <is>
          <t>اتحادیه نخود کوهدشت</t>
        </is>
      </c>
      <c r="D9" s="29" t="inlineStr">
        <is>
          <t>نخود</t>
        </is>
      </c>
      <c r="E9" s="41" t="n">
        <v>300</v>
      </c>
      <c r="F9" s="31" t="n">
        <v>68000</v>
      </c>
      <c r="G9" s="13">
        <f>IF(OR(E9="",F9=""),"",E9*F9)</f>
        <v/>
      </c>
      <c r="H9" s="31" t="n">
        <v>1600000</v>
      </c>
      <c r="I9" s="13">
        <f>IF(OR(E9="",E9=0),"",(G9+IF(H9="",0,H9))/E9)</f>
        <v/>
      </c>
      <c r="J9" s="29" t="inlineStr">
        <is>
          <t>خوب</t>
        </is>
      </c>
      <c r="K9" s="29" t="inlineStr">
        <is>
          <t>تأیید شده</t>
        </is>
      </c>
      <c r="L9" s="29" t="inlineStr"/>
      <c r="M9" s="21">
        <f>IF(B9="","",VALUE(LEFT(B9,4)))</f>
        <v/>
      </c>
      <c r="N9" s="21">
        <f>IF(B9="","",VALUE(MID(B9,6,2)))</f>
        <v/>
      </c>
    </row>
    <row r="10" ht="20" customHeight="1">
      <c r="A10" s="21">
        <f>IF(B10="","",ROW()-3)</f>
        <v/>
      </c>
      <c r="B10" s="29" t="inlineStr">
        <is>
          <t>1405/06/07</t>
        </is>
      </c>
      <c r="C10" s="29" t="inlineStr">
        <is>
          <t>بازرگانی حبوبات خرم‌آباد</t>
        </is>
      </c>
      <c r="D10" s="29" t="inlineStr">
        <is>
          <t>عدس</t>
        </is>
      </c>
      <c r="E10" s="41" t="n">
        <v>250</v>
      </c>
      <c r="F10" s="31" t="n">
        <v>76000</v>
      </c>
      <c r="G10" s="13">
        <f>IF(OR(E10="",F10=""),"",E10*F10)</f>
        <v/>
      </c>
      <c r="H10" s="31" t="n">
        <v>1400000</v>
      </c>
      <c r="I10" s="13">
        <f>IF(OR(E10="",E10=0),"",(G10+IF(H10="",0,H10))/E10)</f>
        <v/>
      </c>
      <c r="J10" s="29" t="inlineStr">
        <is>
          <t>خوب</t>
        </is>
      </c>
      <c r="K10" s="29" t="inlineStr">
        <is>
          <t>تأیید شده</t>
        </is>
      </c>
      <c r="L10" s="29" t="inlineStr"/>
      <c r="M10" s="21">
        <f>IF(B10="","",VALUE(LEFT(B10,4)))</f>
        <v/>
      </c>
      <c r="N10" s="21">
        <f>IF(B10="","",VALUE(MID(B10,6,2)))</f>
        <v/>
      </c>
    </row>
    <row r="11" ht="20" customHeight="1">
      <c r="A11" s="21">
        <f>IF(B11="","",ROW()-3)</f>
        <v/>
      </c>
      <c r="B11" s="29" t="inlineStr">
        <is>
          <t>1405/06/08</t>
        </is>
      </c>
      <c r="C11" s="29" t="inlineStr">
        <is>
          <t>تأمین عدس دزفول</t>
        </is>
      </c>
      <c r="D11" s="29" t="inlineStr">
        <is>
          <t>عدس</t>
        </is>
      </c>
      <c r="E11" s="41" t="n">
        <v>100</v>
      </c>
      <c r="F11" s="31" t="n">
        <v>79000</v>
      </c>
      <c r="G11" s="13">
        <f>IF(OR(E11="",F11=""),"",E11*F11)</f>
        <v/>
      </c>
      <c r="H11" s="31" t="n">
        <v>900000</v>
      </c>
      <c r="I11" s="13">
        <f>IF(OR(E11="",E11=0),"",(G11+IF(H11="",0,H11))/E11)</f>
        <v/>
      </c>
      <c r="J11" s="29" t="inlineStr">
        <is>
          <t>ضعیف</t>
        </is>
      </c>
      <c r="K11" s="29" t="inlineStr">
        <is>
          <t>رد شده</t>
        </is>
      </c>
      <c r="L11" s="29" t="inlineStr">
        <is>
          <t>ناخالصی زیاد — برگشت</t>
        </is>
      </c>
      <c r="M11" s="21">
        <f>IF(B11="","",VALUE(LEFT(B11,4)))</f>
        <v/>
      </c>
      <c r="N11" s="21">
        <f>IF(B11="","",VALUE(MID(B11,6,2)))</f>
        <v/>
      </c>
    </row>
    <row r="12" ht="20" customHeight="1">
      <c r="A12" s="21">
        <f>IF(B12="","",ROW()-3)</f>
        <v/>
      </c>
      <c r="B12" s="29" t="inlineStr">
        <is>
          <t>1405/06/10</t>
        </is>
      </c>
      <c r="C12" s="29" t="inlineStr">
        <is>
          <t>کشاورز بروجرد</t>
        </is>
      </c>
      <c r="D12" s="29" t="inlineStr">
        <is>
          <t>لوبیا قرمز</t>
        </is>
      </c>
      <c r="E12" s="41" t="n">
        <v>200</v>
      </c>
      <c r="F12" s="31" t="n">
        <v>85000</v>
      </c>
      <c r="G12" s="13">
        <f>IF(OR(E12="",F12=""),"",E12*F12)</f>
        <v/>
      </c>
      <c r="H12" s="31" t="n">
        <v>1500000</v>
      </c>
      <c r="I12" s="13">
        <f>IF(OR(E12="",E12=0),"",(G12+IF(H12="",0,H12))/E12)</f>
        <v/>
      </c>
      <c r="J12" s="29" t="inlineStr">
        <is>
          <t>خوب</t>
        </is>
      </c>
      <c r="K12" s="29" t="inlineStr">
        <is>
          <t>تأیید شده</t>
        </is>
      </c>
      <c r="L12" s="29" t="inlineStr"/>
      <c r="M12" s="21">
        <f>IF(B12="","",VALUE(LEFT(B12,4)))</f>
        <v/>
      </c>
      <c r="N12" s="21">
        <f>IF(B12="","",VALUE(MID(B12,6,2)))</f>
        <v/>
      </c>
    </row>
    <row r="13" ht="20" customHeight="1">
      <c r="A13" s="21">
        <f>IF(B13="","",ROW()-3)</f>
        <v/>
      </c>
      <c r="B13" s="29" t="inlineStr">
        <is>
          <t>1405/06/14</t>
        </is>
      </c>
      <c r="C13" s="29" t="inlineStr">
        <is>
          <t>تأمین عدس دزفول</t>
        </is>
      </c>
      <c r="D13" s="29" t="inlineStr">
        <is>
          <t>لپه</t>
        </is>
      </c>
      <c r="E13" s="41" t="n">
        <v>150</v>
      </c>
      <c r="F13" s="31" t="n">
        <v>80000</v>
      </c>
      <c r="G13" s="13">
        <f>IF(OR(E13="",F13=""),"",E13*F13)</f>
        <v/>
      </c>
      <c r="H13" s="31" t="n">
        <v>1100000</v>
      </c>
      <c r="I13" s="13">
        <f>IF(OR(E13="",E13=0),"",(G13+IF(H13="",0,H13))/E13)</f>
        <v/>
      </c>
      <c r="J13" s="29" t="inlineStr">
        <is>
          <t>متوسط</t>
        </is>
      </c>
      <c r="K13" s="29" t="inlineStr">
        <is>
          <t>تأیید شده</t>
        </is>
      </c>
      <c r="L13" s="29" t="inlineStr">
        <is>
          <t>با کمی نخاله</t>
        </is>
      </c>
      <c r="M13" s="21">
        <f>IF(B13="","",VALUE(LEFT(B13,4)))</f>
        <v/>
      </c>
      <c r="N13" s="21">
        <f>IF(B13="","",VALUE(MID(B13,6,2)))</f>
        <v/>
      </c>
    </row>
    <row r="14" ht="20" customHeight="1">
      <c r="A14" s="21">
        <f>IF(B14="","",ROW()-3)</f>
        <v/>
      </c>
      <c r="B14" s="29" t="inlineStr">
        <is>
          <t>1405/06/16</t>
        </is>
      </c>
      <c r="C14" s="29" t="inlineStr">
        <is>
          <t>کشت و صنعت لرستان</t>
        </is>
      </c>
      <c r="D14" s="29" t="inlineStr">
        <is>
          <t>لوبیا سفید</t>
        </is>
      </c>
      <c r="E14" s="41" t="n">
        <v>180</v>
      </c>
      <c r="F14" s="31" t="n">
        <v>90000</v>
      </c>
      <c r="G14" s="13">
        <f>IF(OR(E14="",F14=""),"",E14*F14)</f>
        <v/>
      </c>
      <c r="H14" s="31" t="n">
        <v>1300000</v>
      </c>
      <c r="I14" s="13">
        <f>IF(OR(E14="",E14=0),"",(G14+IF(H14="",0,H14))/E14)</f>
        <v/>
      </c>
      <c r="J14" s="29" t="inlineStr">
        <is>
          <t>عالی</t>
        </is>
      </c>
      <c r="K14" s="29" t="inlineStr">
        <is>
          <t>تأیید شده</t>
        </is>
      </c>
      <c r="L14" s="29" t="inlineStr"/>
      <c r="M14" s="21">
        <f>IF(B14="","",VALUE(LEFT(B14,4)))</f>
        <v/>
      </c>
      <c r="N14" s="21">
        <f>IF(B14="","",VALUE(MID(B14,6,2)))</f>
        <v/>
      </c>
    </row>
    <row r="15" ht="20" customHeight="1">
      <c r="A15" s="21">
        <f>IF(B15="","",ROW()-3)</f>
        <v/>
      </c>
      <c r="B15" s="29" t="inlineStr">
        <is>
          <t>1405/06/17</t>
        </is>
      </c>
      <c r="C15" s="29" t="inlineStr">
        <is>
          <t>اتحادیه نخود کوهدشت</t>
        </is>
      </c>
      <c r="D15" s="29" t="inlineStr">
        <is>
          <t>ماش</t>
        </is>
      </c>
      <c r="E15" s="41" t="n">
        <v>80</v>
      </c>
      <c r="F15" s="31" t="n">
        <v>72000</v>
      </c>
      <c r="G15" s="13">
        <f>IF(OR(E15="",F15=""),"",E15*F15)</f>
        <v/>
      </c>
      <c r="H15" s="31" t="n">
        <v>700000</v>
      </c>
      <c r="I15" s="13">
        <f>IF(OR(E15="",E15=0),"",(G15+IF(H15="",0,H15))/E15)</f>
        <v/>
      </c>
      <c r="J15" s="29" t="inlineStr">
        <is>
          <t>خوب</t>
        </is>
      </c>
      <c r="K15" s="29" t="inlineStr">
        <is>
          <t>در انتظار</t>
        </is>
      </c>
      <c r="L15" s="29" t="inlineStr">
        <is>
          <t>هنوز کنترل کیفیت نشده</t>
        </is>
      </c>
      <c r="M15" s="21">
        <f>IF(B15="","",VALUE(LEFT(B15,4)))</f>
        <v/>
      </c>
      <c r="N15" s="21">
        <f>IF(B15="","",VALUE(MID(B15,6,2)))</f>
        <v/>
      </c>
    </row>
    <row r="16" ht="20" customHeight="1">
      <c r="A16" s="21">
        <f>IF(B16="","",ROW()-3)</f>
        <v/>
      </c>
      <c r="B16" s="29" t="n"/>
      <c r="C16" s="29" t="n"/>
      <c r="D16" s="29" t="n"/>
      <c r="E16" s="41" t="n"/>
      <c r="F16" s="31" t="n"/>
      <c r="G16" s="13">
        <f>IF(OR(E16="",F16=""),"",E16*F16)</f>
        <v/>
      </c>
      <c r="H16" s="31" t="n"/>
      <c r="I16" s="13">
        <f>IF(OR(E16="",E16=0),"",(G16+IF(H16="",0,H16))/E16)</f>
        <v/>
      </c>
      <c r="J16" s="29" t="n"/>
      <c r="K16" s="29" t="n"/>
      <c r="L16" s="29" t="n"/>
      <c r="M16" s="21">
        <f>IF(B16="","",VALUE(LEFT(B16,4)))</f>
        <v/>
      </c>
      <c r="N16" s="21">
        <f>IF(B16="","",VALUE(MID(B16,6,2)))</f>
        <v/>
      </c>
    </row>
    <row r="17" ht="20" customHeight="1">
      <c r="A17" s="21">
        <f>IF(B17="","",ROW()-3)</f>
        <v/>
      </c>
      <c r="B17" s="29" t="n"/>
      <c r="C17" s="29" t="n"/>
      <c r="D17" s="29" t="n"/>
      <c r="E17" s="41" t="n"/>
      <c r="F17" s="31" t="n"/>
      <c r="G17" s="13">
        <f>IF(OR(E17="",F17=""),"",E17*F17)</f>
        <v/>
      </c>
      <c r="H17" s="31" t="n"/>
      <c r="I17" s="13">
        <f>IF(OR(E17="",E17=0),"",(G17+IF(H17="",0,H17))/E17)</f>
        <v/>
      </c>
      <c r="J17" s="29" t="n"/>
      <c r="K17" s="29" t="n"/>
      <c r="L17" s="29" t="n"/>
      <c r="M17" s="21">
        <f>IF(B17="","",VALUE(LEFT(B17,4)))</f>
        <v/>
      </c>
      <c r="N17" s="21">
        <f>IF(B17="","",VALUE(MID(B17,6,2)))</f>
        <v/>
      </c>
    </row>
    <row r="18" ht="20" customHeight="1">
      <c r="A18" s="21">
        <f>IF(B18="","",ROW()-3)</f>
        <v/>
      </c>
      <c r="B18" s="29" t="n"/>
      <c r="C18" s="29" t="n"/>
      <c r="D18" s="29" t="n"/>
      <c r="E18" s="41" t="n"/>
      <c r="F18" s="31" t="n"/>
      <c r="G18" s="13">
        <f>IF(OR(E18="",F18=""),"",E18*F18)</f>
        <v/>
      </c>
      <c r="H18" s="31" t="n"/>
      <c r="I18" s="13">
        <f>IF(OR(E18="",E18=0),"",(G18+IF(H18="",0,H18))/E18)</f>
        <v/>
      </c>
      <c r="J18" s="29" t="n"/>
      <c r="K18" s="29" t="n"/>
      <c r="L18" s="29" t="n"/>
      <c r="M18" s="21">
        <f>IF(B18="","",VALUE(LEFT(B18,4)))</f>
        <v/>
      </c>
      <c r="N18" s="21">
        <f>IF(B18="","",VALUE(MID(B18,6,2)))</f>
        <v/>
      </c>
    </row>
    <row r="19" ht="20" customHeight="1">
      <c r="A19" s="21">
        <f>IF(B19="","",ROW()-3)</f>
        <v/>
      </c>
      <c r="B19" s="29" t="n"/>
      <c r="C19" s="29" t="n"/>
      <c r="D19" s="29" t="n"/>
      <c r="E19" s="41" t="n"/>
      <c r="F19" s="31" t="n"/>
      <c r="G19" s="13">
        <f>IF(OR(E19="",F19=""),"",E19*F19)</f>
        <v/>
      </c>
      <c r="H19" s="31" t="n"/>
      <c r="I19" s="13">
        <f>IF(OR(E19="",E19=0),"",(G19+IF(H19="",0,H19))/E19)</f>
        <v/>
      </c>
      <c r="J19" s="29" t="n"/>
      <c r="K19" s="29" t="n"/>
      <c r="L19" s="29" t="n"/>
      <c r="M19" s="21">
        <f>IF(B19="","",VALUE(LEFT(B19,4)))</f>
        <v/>
      </c>
      <c r="N19" s="21">
        <f>IF(B19="","",VALUE(MID(B19,6,2)))</f>
        <v/>
      </c>
    </row>
    <row r="20" ht="20" customHeight="1">
      <c r="A20" s="21">
        <f>IF(B20="","",ROW()-3)</f>
        <v/>
      </c>
      <c r="B20" s="29" t="n"/>
      <c r="C20" s="29" t="n"/>
      <c r="D20" s="29" t="n"/>
      <c r="E20" s="41" t="n"/>
      <c r="F20" s="31" t="n"/>
      <c r="G20" s="13">
        <f>IF(OR(E20="",F20=""),"",E20*F20)</f>
        <v/>
      </c>
      <c r="H20" s="31" t="n"/>
      <c r="I20" s="13">
        <f>IF(OR(E20="",E20=0),"",(G20+IF(H20="",0,H20))/E20)</f>
        <v/>
      </c>
      <c r="J20" s="29" t="n"/>
      <c r="K20" s="29" t="n"/>
      <c r="L20" s="29" t="n"/>
      <c r="M20" s="21">
        <f>IF(B20="","",VALUE(LEFT(B20,4)))</f>
        <v/>
      </c>
      <c r="N20" s="21">
        <f>IF(B20="","",VALUE(MID(B20,6,2)))</f>
        <v/>
      </c>
    </row>
    <row r="21" ht="20" customHeight="1">
      <c r="A21" s="21">
        <f>IF(B21="","",ROW()-3)</f>
        <v/>
      </c>
      <c r="B21" s="29" t="n"/>
      <c r="C21" s="29" t="n"/>
      <c r="D21" s="29" t="n"/>
      <c r="E21" s="41" t="n"/>
      <c r="F21" s="31" t="n"/>
      <c r="G21" s="13">
        <f>IF(OR(E21="",F21=""),"",E21*F21)</f>
        <v/>
      </c>
      <c r="H21" s="31" t="n"/>
      <c r="I21" s="13">
        <f>IF(OR(E21="",E21=0),"",(G21+IF(H21="",0,H21))/E21)</f>
        <v/>
      </c>
      <c r="J21" s="29" t="n"/>
      <c r="K21" s="29" t="n"/>
      <c r="L21" s="29" t="n"/>
      <c r="M21" s="21">
        <f>IF(B21="","",VALUE(LEFT(B21,4)))</f>
        <v/>
      </c>
      <c r="N21" s="21">
        <f>IF(B21="","",VALUE(MID(B21,6,2)))</f>
        <v/>
      </c>
    </row>
    <row r="22" ht="20" customHeight="1">
      <c r="A22" s="21">
        <f>IF(B22="","",ROW()-3)</f>
        <v/>
      </c>
      <c r="B22" s="29" t="n"/>
      <c r="C22" s="29" t="n"/>
      <c r="D22" s="29" t="n"/>
      <c r="E22" s="41" t="n"/>
      <c r="F22" s="31" t="n"/>
      <c r="G22" s="13">
        <f>IF(OR(E22="",F22=""),"",E22*F22)</f>
        <v/>
      </c>
      <c r="H22" s="31" t="n"/>
      <c r="I22" s="13">
        <f>IF(OR(E22="",E22=0),"",(G22+IF(H22="",0,H22))/E22)</f>
        <v/>
      </c>
      <c r="J22" s="29" t="n"/>
      <c r="K22" s="29" t="n"/>
      <c r="L22" s="29" t="n"/>
      <c r="M22" s="21">
        <f>IF(B22="","",VALUE(LEFT(B22,4)))</f>
        <v/>
      </c>
      <c r="N22" s="21">
        <f>IF(B22="","",VALUE(MID(B22,6,2)))</f>
        <v/>
      </c>
    </row>
    <row r="23" ht="20" customHeight="1">
      <c r="A23" s="21">
        <f>IF(B23="","",ROW()-3)</f>
        <v/>
      </c>
      <c r="B23" s="29" t="n"/>
      <c r="C23" s="29" t="n"/>
      <c r="D23" s="29" t="n"/>
      <c r="E23" s="41" t="n"/>
      <c r="F23" s="31" t="n"/>
      <c r="G23" s="13">
        <f>IF(OR(E23="",F23=""),"",E23*F23)</f>
        <v/>
      </c>
      <c r="H23" s="31" t="n"/>
      <c r="I23" s="13">
        <f>IF(OR(E23="",E23=0),"",(G23+IF(H23="",0,H23))/E23)</f>
        <v/>
      </c>
      <c r="J23" s="29" t="n"/>
      <c r="K23" s="29" t="n"/>
      <c r="L23" s="29" t="n"/>
      <c r="M23" s="21">
        <f>IF(B23="","",VALUE(LEFT(B23,4)))</f>
        <v/>
      </c>
      <c r="N23" s="21">
        <f>IF(B23="","",VALUE(MID(B23,6,2)))</f>
        <v/>
      </c>
    </row>
    <row r="24" ht="20" customHeight="1">
      <c r="A24" s="21">
        <f>IF(B24="","",ROW()-3)</f>
        <v/>
      </c>
      <c r="B24" s="29" t="n"/>
      <c r="C24" s="29" t="n"/>
      <c r="D24" s="29" t="n"/>
      <c r="E24" s="41" t="n"/>
      <c r="F24" s="31" t="n"/>
      <c r="G24" s="13">
        <f>IF(OR(E24="",F24=""),"",E24*F24)</f>
        <v/>
      </c>
      <c r="H24" s="31" t="n"/>
      <c r="I24" s="13">
        <f>IF(OR(E24="",E24=0),"",(G24+IF(H24="",0,H24))/E24)</f>
        <v/>
      </c>
      <c r="J24" s="29" t="n"/>
      <c r="K24" s="29" t="n"/>
      <c r="L24" s="29" t="n"/>
      <c r="M24" s="21">
        <f>IF(B24="","",VALUE(LEFT(B24,4)))</f>
        <v/>
      </c>
      <c r="N24" s="21">
        <f>IF(B24="","",VALUE(MID(B24,6,2)))</f>
        <v/>
      </c>
    </row>
    <row r="25" ht="20" customHeight="1">
      <c r="A25" s="21">
        <f>IF(B25="","",ROW()-3)</f>
        <v/>
      </c>
      <c r="B25" s="29" t="n"/>
      <c r="C25" s="29" t="n"/>
      <c r="D25" s="29" t="n"/>
      <c r="E25" s="41" t="n"/>
      <c r="F25" s="31" t="n"/>
      <c r="G25" s="13">
        <f>IF(OR(E25="",F25=""),"",E25*F25)</f>
        <v/>
      </c>
      <c r="H25" s="31" t="n"/>
      <c r="I25" s="13">
        <f>IF(OR(E25="",E25=0),"",(G25+IF(H25="",0,H25))/E25)</f>
        <v/>
      </c>
      <c r="J25" s="29" t="n"/>
      <c r="K25" s="29" t="n"/>
      <c r="L25" s="29" t="n"/>
      <c r="M25" s="21">
        <f>IF(B25="","",VALUE(LEFT(B25,4)))</f>
        <v/>
      </c>
      <c r="N25" s="21">
        <f>IF(B25="","",VALUE(MID(B25,6,2)))</f>
        <v/>
      </c>
    </row>
    <row r="26" ht="20" customHeight="1">
      <c r="A26" s="21">
        <f>IF(B26="","",ROW()-3)</f>
        <v/>
      </c>
      <c r="B26" s="29" t="n"/>
      <c r="C26" s="29" t="n"/>
      <c r="D26" s="29" t="n"/>
      <c r="E26" s="41" t="n"/>
      <c r="F26" s="31" t="n"/>
      <c r="G26" s="13">
        <f>IF(OR(E26="",F26=""),"",E26*F26)</f>
        <v/>
      </c>
      <c r="H26" s="31" t="n"/>
      <c r="I26" s="13">
        <f>IF(OR(E26="",E26=0),"",(G26+IF(H26="",0,H26))/E26)</f>
        <v/>
      </c>
      <c r="J26" s="29" t="n"/>
      <c r="K26" s="29" t="n"/>
      <c r="L26" s="29" t="n"/>
      <c r="M26" s="21">
        <f>IF(B26="","",VALUE(LEFT(B26,4)))</f>
        <v/>
      </c>
      <c r="N26" s="21">
        <f>IF(B26="","",VALUE(MID(B26,6,2)))</f>
        <v/>
      </c>
    </row>
    <row r="27" ht="20" customHeight="1">
      <c r="A27" s="21">
        <f>IF(B27="","",ROW()-3)</f>
        <v/>
      </c>
      <c r="B27" s="29" t="n"/>
      <c r="C27" s="29" t="n"/>
      <c r="D27" s="29" t="n"/>
      <c r="E27" s="41" t="n"/>
      <c r="F27" s="31" t="n"/>
      <c r="G27" s="13">
        <f>IF(OR(E27="",F27=""),"",E27*F27)</f>
        <v/>
      </c>
      <c r="H27" s="31" t="n"/>
      <c r="I27" s="13">
        <f>IF(OR(E27="",E27=0),"",(G27+IF(H27="",0,H27))/E27)</f>
        <v/>
      </c>
      <c r="J27" s="29" t="n"/>
      <c r="K27" s="29" t="n"/>
      <c r="L27" s="29" t="n"/>
      <c r="M27" s="21">
        <f>IF(B27="","",VALUE(LEFT(B27,4)))</f>
        <v/>
      </c>
      <c r="N27" s="21">
        <f>IF(B27="","",VALUE(MID(B27,6,2)))</f>
        <v/>
      </c>
    </row>
    <row r="28" ht="20" customHeight="1">
      <c r="A28" s="21">
        <f>IF(B28="","",ROW()-3)</f>
        <v/>
      </c>
      <c r="B28" s="29" t="n"/>
      <c r="C28" s="29" t="n"/>
      <c r="D28" s="29" t="n"/>
      <c r="E28" s="41" t="n"/>
      <c r="F28" s="31" t="n"/>
      <c r="G28" s="13">
        <f>IF(OR(E28="",F28=""),"",E28*F28)</f>
        <v/>
      </c>
      <c r="H28" s="31" t="n"/>
      <c r="I28" s="13">
        <f>IF(OR(E28="",E28=0),"",(G28+IF(H28="",0,H28))/E28)</f>
        <v/>
      </c>
      <c r="J28" s="29" t="n"/>
      <c r="K28" s="29" t="n"/>
      <c r="L28" s="29" t="n"/>
      <c r="M28" s="21">
        <f>IF(B28="","",VALUE(LEFT(B28,4)))</f>
        <v/>
      </c>
      <c r="N28" s="21">
        <f>IF(B28="","",VALUE(MID(B28,6,2)))</f>
        <v/>
      </c>
    </row>
    <row r="29" ht="20" customHeight="1">
      <c r="A29" s="21">
        <f>IF(B29="","",ROW()-3)</f>
        <v/>
      </c>
      <c r="B29" s="29" t="n"/>
      <c r="C29" s="29" t="n"/>
      <c r="D29" s="29" t="n"/>
      <c r="E29" s="41" t="n"/>
      <c r="F29" s="31" t="n"/>
      <c r="G29" s="13">
        <f>IF(OR(E29="",F29=""),"",E29*F29)</f>
        <v/>
      </c>
      <c r="H29" s="31" t="n"/>
      <c r="I29" s="13">
        <f>IF(OR(E29="",E29=0),"",(G29+IF(H29="",0,H29))/E29)</f>
        <v/>
      </c>
      <c r="J29" s="29" t="n"/>
      <c r="K29" s="29" t="n"/>
      <c r="L29" s="29" t="n"/>
      <c r="M29" s="21">
        <f>IF(B29="","",VALUE(LEFT(B29,4)))</f>
        <v/>
      </c>
      <c r="N29" s="21">
        <f>IF(B29="","",VALUE(MID(B29,6,2)))</f>
        <v/>
      </c>
    </row>
    <row r="30" ht="20" customHeight="1">
      <c r="A30" s="21">
        <f>IF(B30="","",ROW()-3)</f>
        <v/>
      </c>
      <c r="B30" s="29" t="n"/>
      <c r="C30" s="29" t="n"/>
      <c r="D30" s="29" t="n"/>
      <c r="E30" s="41" t="n"/>
      <c r="F30" s="31" t="n"/>
      <c r="G30" s="13">
        <f>IF(OR(E30="",F30=""),"",E30*F30)</f>
        <v/>
      </c>
      <c r="H30" s="31" t="n"/>
      <c r="I30" s="13">
        <f>IF(OR(E30="",E30=0),"",(G30+IF(H30="",0,H30))/E30)</f>
        <v/>
      </c>
      <c r="J30" s="29" t="n"/>
      <c r="K30" s="29" t="n"/>
      <c r="L30" s="29" t="n"/>
      <c r="M30" s="21">
        <f>IF(B30="","",VALUE(LEFT(B30,4)))</f>
        <v/>
      </c>
      <c r="N30" s="21">
        <f>IF(B30="","",VALUE(MID(B30,6,2)))</f>
        <v/>
      </c>
    </row>
    <row r="31" ht="20" customHeight="1">
      <c r="A31" s="21">
        <f>IF(B31="","",ROW()-3)</f>
        <v/>
      </c>
      <c r="B31" s="29" t="n"/>
      <c r="C31" s="29" t="n"/>
      <c r="D31" s="29" t="n"/>
      <c r="E31" s="41" t="n"/>
      <c r="F31" s="31" t="n"/>
      <c r="G31" s="13">
        <f>IF(OR(E31="",F31=""),"",E31*F31)</f>
        <v/>
      </c>
      <c r="H31" s="31" t="n"/>
      <c r="I31" s="13">
        <f>IF(OR(E31="",E31=0),"",(G31+IF(H31="",0,H31))/E31)</f>
        <v/>
      </c>
      <c r="J31" s="29" t="n"/>
      <c r="K31" s="29" t="n"/>
      <c r="L31" s="29" t="n"/>
      <c r="M31" s="21">
        <f>IF(B31="","",VALUE(LEFT(B31,4)))</f>
        <v/>
      </c>
      <c r="N31" s="21">
        <f>IF(B31="","",VALUE(MID(B31,6,2)))</f>
        <v/>
      </c>
    </row>
    <row r="32" ht="20" customHeight="1">
      <c r="A32" s="21">
        <f>IF(B32="","",ROW()-3)</f>
        <v/>
      </c>
      <c r="B32" s="29" t="n"/>
      <c r="C32" s="29" t="n"/>
      <c r="D32" s="29" t="n"/>
      <c r="E32" s="41" t="n"/>
      <c r="F32" s="31" t="n"/>
      <c r="G32" s="13">
        <f>IF(OR(E32="",F32=""),"",E32*F32)</f>
        <v/>
      </c>
      <c r="H32" s="31" t="n"/>
      <c r="I32" s="13">
        <f>IF(OR(E32="",E32=0),"",(G32+IF(H32="",0,H32))/E32)</f>
        <v/>
      </c>
      <c r="J32" s="29" t="n"/>
      <c r="K32" s="29" t="n"/>
      <c r="L32" s="29" t="n"/>
      <c r="M32" s="21">
        <f>IF(B32="","",VALUE(LEFT(B32,4)))</f>
        <v/>
      </c>
      <c r="N32" s="21">
        <f>IF(B32="","",VALUE(MID(B32,6,2)))</f>
        <v/>
      </c>
    </row>
    <row r="33" ht="20" customHeight="1">
      <c r="A33" s="21">
        <f>IF(B33="","",ROW()-3)</f>
        <v/>
      </c>
      <c r="B33" s="29" t="n"/>
      <c r="C33" s="29" t="n"/>
      <c r="D33" s="29" t="n"/>
      <c r="E33" s="41" t="n"/>
      <c r="F33" s="31" t="n"/>
      <c r="G33" s="13">
        <f>IF(OR(E33="",F33=""),"",E33*F33)</f>
        <v/>
      </c>
      <c r="H33" s="31" t="n"/>
      <c r="I33" s="13">
        <f>IF(OR(E33="",E33=0),"",(G33+IF(H33="",0,H33))/E33)</f>
        <v/>
      </c>
      <c r="J33" s="29" t="n"/>
      <c r="K33" s="29" t="n"/>
      <c r="L33" s="29" t="n"/>
      <c r="M33" s="21">
        <f>IF(B33="","",VALUE(LEFT(B33,4)))</f>
        <v/>
      </c>
      <c r="N33" s="21">
        <f>IF(B33="","",VALUE(MID(B33,6,2)))</f>
        <v/>
      </c>
    </row>
    <row r="34" ht="20" customHeight="1">
      <c r="A34" s="21">
        <f>IF(B34="","",ROW()-3)</f>
        <v/>
      </c>
      <c r="B34" s="29" t="n"/>
      <c r="C34" s="29" t="n"/>
      <c r="D34" s="29" t="n"/>
      <c r="E34" s="41" t="n"/>
      <c r="F34" s="31" t="n"/>
      <c r="G34" s="13">
        <f>IF(OR(E34="",F34=""),"",E34*F34)</f>
        <v/>
      </c>
      <c r="H34" s="31" t="n"/>
      <c r="I34" s="13">
        <f>IF(OR(E34="",E34=0),"",(G34+IF(H34="",0,H34))/E34)</f>
        <v/>
      </c>
      <c r="J34" s="29" t="n"/>
      <c r="K34" s="29" t="n"/>
      <c r="L34" s="29" t="n"/>
      <c r="M34" s="21">
        <f>IF(B34="","",VALUE(LEFT(B34,4)))</f>
        <v/>
      </c>
      <c r="N34" s="21">
        <f>IF(B34="","",VALUE(MID(B34,6,2)))</f>
        <v/>
      </c>
    </row>
    <row r="35" ht="20" customHeight="1">
      <c r="A35" s="21">
        <f>IF(B35="","",ROW()-3)</f>
        <v/>
      </c>
      <c r="B35" s="29" t="n"/>
      <c r="C35" s="29" t="n"/>
      <c r="D35" s="29" t="n"/>
      <c r="E35" s="41" t="n"/>
      <c r="F35" s="31" t="n"/>
      <c r="G35" s="13">
        <f>IF(OR(E35="",F35=""),"",E35*F35)</f>
        <v/>
      </c>
      <c r="H35" s="31" t="n"/>
      <c r="I35" s="13">
        <f>IF(OR(E35="",E35=0),"",(G35+IF(H35="",0,H35))/E35)</f>
        <v/>
      </c>
      <c r="J35" s="29" t="n"/>
      <c r="K35" s="29" t="n"/>
      <c r="L35" s="29" t="n"/>
      <c r="M35" s="21">
        <f>IF(B35="","",VALUE(LEFT(B35,4)))</f>
        <v/>
      </c>
      <c r="N35" s="21">
        <f>IF(B35="","",VALUE(MID(B35,6,2)))</f>
        <v/>
      </c>
    </row>
    <row r="36" ht="20" customHeight="1">
      <c r="A36" s="21">
        <f>IF(B36="","",ROW()-3)</f>
        <v/>
      </c>
      <c r="B36" s="29" t="n"/>
      <c r="C36" s="29" t="n"/>
      <c r="D36" s="29" t="n"/>
      <c r="E36" s="41" t="n"/>
      <c r="F36" s="31" t="n"/>
      <c r="G36" s="13">
        <f>IF(OR(E36="",F36=""),"",E36*F36)</f>
        <v/>
      </c>
      <c r="H36" s="31" t="n"/>
      <c r="I36" s="13">
        <f>IF(OR(E36="",E36=0),"",(G36+IF(H36="",0,H36))/E36)</f>
        <v/>
      </c>
      <c r="J36" s="29" t="n"/>
      <c r="K36" s="29" t="n"/>
      <c r="L36" s="29" t="n"/>
      <c r="M36" s="21">
        <f>IF(B36="","",VALUE(LEFT(B36,4)))</f>
        <v/>
      </c>
      <c r="N36" s="21">
        <f>IF(B36="","",VALUE(MID(B36,6,2)))</f>
        <v/>
      </c>
    </row>
    <row r="37" ht="20" customHeight="1">
      <c r="A37" s="21">
        <f>IF(B37="","",ROW()-3)</f>
        <v/>
      </c>
      <c r="B37" s="29" t="n"/>
      <c r="C37" s="29" t="n"/>
      <c r="D37" s="29" t="n"/>
      <c r="E37" s="41" t="n"/>
      <c r="F37" s="31" t="n"/>
      <c r="G37" s="13">
        <f>IF(OR(E37="",F37=""),"",E37*F37)</f>
        <v/>
      </c>
      <c r="H37" s="31" t="n"/>
      <c r="I37" s="13">
        <f>IF(OR(E37="",E37=0),"",(G37+IF(H37="",0,H37))/E37)</f>
        <v/>
      </c>
      <c r="J37" s="29" t="n"/>
      <c r="K37" s="29" t="n"/>
      <c r="L37" s="29" t="n"/>
      <c r="M37" s="21">
        <f>IF(B37="","",VALUE(LEFT(B37,4)))</f>
        <v/>
      </c>
      <c r="N37" s="21">
        <f>IF(B37="","",VALUE(MID(B37,6,2)))</f>
        <v/>
      </c>
    </row>
    <row r="38" ht="20" customHeight="1">
      <c r="A38" s="21">
        <f>IF(B38="","",ROW()-3)</f>
        <v/>
      </c>
      <c r="B38" s="29" t="n"/>
      <c r="C38" s="29" t="n"/>
      <c r="D38" s="29" t="n"/>
      <c r="E38" s="41" t="n"/>
      <c r="F38" s="31" t="n"/>
      <c r="G38" s="13">
        <f>IF(OR(E38="",F38=""),"",E38*F38)</f>
        <v/>
      </c>
      <c r="H38" s="31" t="n"/>
      <c r="I38" s="13">
        <f>IF(OR(E38="",E38=0),"",(G38+IF(H38="",0,H38))/E38)</f>
        <v/>
      </c>
      <c r="J38" s="29" t="n"/>
      <c r="K38" s="29" t="n"/>
      <c r="L38" s="29" t="n"/>
      <c r="M38" s="21">
        <f>IF(B38="","",VALUE(LEFT(B38,4)))</f>
        <v/>
      </c>
      <c r="N38" s="21">
        <f>IF(B38="","",VALUE(MID(B38,6,2)))</f>
        <v/>
      </c>
    </row>
    <row r="39" ht="20" customHeight="1">
      <c r="A39" s="21">
        <f>IF(B39="","",ROW()-3)</f>
        <v/>
      </c>
      <c r="B39" s="29" t="n"/>
      <c r="C39" s="29" t="n"/>
      <c r="D39" s="29" t="n"/>
      <c r="E39" s="41" t="n"/>
      <c r="F39" s="31" t="n"/>
      <c r="G39" s="13">
        <f>IF(OR(E39="",F39=""),"",E39*F39)</f>
        <v/>
      </c>
      <c r="H39" s="31" t="n"/>
      <c r="I39" s="13">
        <f>IF(OR(E39="",E39=0),"",(G39+IF(H39="",0,H39))/E39)</f>
        <v/>
      </c>
      <c r="J39" s="29" t="n"/>
      <c r="K39" s="29" t="n"/>
      <c r="L39" s="29" t="n"/>
      <c r="M39" s="21">
        <f>IF(B39="","",VALUE(LEFT(B39,4)))</f>
        <v/>
      </c>
      <c r="N39" s="21">
        <f>IF(B39="","",VALUE(MID(B39,6,2)))</f>
        <v/>
      </c>
    </row>
    <row r="40" ht="20" customHeight="1">
      <c r="A40" s="21">
        <f>IF(B40="","",ROW()-3)</f>
        <v/>
      </c>
      <c r="B40" s="29" t="n"/>
      <c r="C40" s="29" t="n"/>
      <c r="D40" s="29" t="n"/>
      <c r="E40" s="41" t="n"/>
      <c r="F40" s="31" t="n"/>
      <c r="G40" s="13">
        <f>IF(OR(E40="",F40=""),"",E40*F40)</f>
        <v/>
      </c>
      <c r="H40" s="31" t="n"/>
      <c r="I40" s="13">
        <f>IF(OR(E40="",E40=0),"",(G40+IF(H40="",0,H40))/E40)</f>
        <v/>
      </c>
      <c r="J40" s="29" t="n"/>
      <c r="K40" s="29" t="n"/>
      <c r="L40" s="29" t="n"/>
      <c r="M40" s="21">
        <f>IF(B40="","",VALUE(LEFT(B40,4)))</f>
        <v/>
      </c>
      <c r="N40" s="21">
        <f>IF(B40="","",VALUE(MID(B40,6,2)))</f>
        <v/>
      </c>
    </row>
    <row r="41" ht="20" customHeight="1">
      <c r="A41" s="21">
        <f>IF(B41="","",ROW()-3)</f>
        <v/>
      </c>
      <c r="B41" s="29" t="n"/>
      <c r="C41" s="29" t="n"/>
      <c r="D41" s="29" t="n"/>
      <c r="E41" s="41" t="n"/>
      <c r="F41" s="31" t="n"/>
      <c r="G41" s="13">
        <f>IF(OR(E41="",F41=""),"",E41*F41)</f>
        <v/>
      </c>
      <c r="H41" s="31" t="n"/>
      <c r="I41" s="13">
        <f>IF(OR(E41="",E41=0),"",(G41+IF(H41="",0,H41))/E41)</f>
        <v/>
      </c>
      <c r="J41" s="29" t="n"/>
      <c r="K41" s="29" t="n"/>
      <c r="L41" s="29" t="n"/>
      <c r="M41" s="21">
        <f>IF(B41="","",VALUE(LEFT(B41,4)))</f>
        <v/>
      </c>
      <c r="N41" s="21">
        <f>IF(B41="","",VALUE(MID(B41,6,2)))</f>
        <v/>
      </c>
    </row>
    <row r="42" ht="20" customHeight="1">
      <c r="A42" s="21">
        <f>IF(B42="","",ROW()-3)</f>
        <v/>
      </c>
      <c r="B42" s="29" t="n"/>
      <c r="C42" s="29" t="n"/>
      <c r="D42" s="29" t="n"/>
      <c r="E42" s="41" t="n"/>
      <c r="F42" s="31" t="n"/>
      <c r="G42" s="13">
        <f>IF(OR(E42="",F42=""),"",E42*F42)</f>
        <v/>
      </c>
      <c r="H42" s="31" t="n"/>
      <c r="I42" s="13">
        <f>IF(OR(E42="",E42=0),"",(G42+IF(H42="",0,H42))/E42)</f>
        <v/>
      </c>
      <c r="J42" s="29" t="n"/>
      <c r="K42" s="29" t="n"/>
      <c r="L42" s="29" t="n"/>
      <c r="M42" s="21">
        <f>IF(B42="","",VALUE(LEFT(B42,4)))</f>
        <v/>
      </c>
      <c r="N42" s="21">
        <f>IF(B42="","",VALUE(MID(B42,6,2)))</f>
        <v/>
      </c>
    </row>
    <row r="43" ht="20" customHeight="1">
      <c r="A43" s="21">
        <f>IF(B43="","",ROW()-3)</f>
        <v/>
      </c>
      <c r="B43" s="29" t="n"/>
      <c r="C43" s="29" t="n"/>
      <c r="D43" s="29" t="n"/>
      <c r="E43" s="41" t="n"/>
      <c r="F43" s="31" t="n"/>
      <c r="G43" s="13">
        <f>IF(OR(E43="",F43=""),"",E43*F43)</f>
        <v/>
      </c>
      <c r="H43" s="31" t="n"/>
      <c r="I43" s="13">
        <f>IF(OR(E43="",E43=0),"",(G43+IF(H43="",0,H43))/E43)</f>
        <v/>
      </c>
      <c r="J43" s="29" t="n"/>
      <c r="K43" s="29" t="n"/>
      <c r="L43" s="29" t="n"/>
      <c r="M43" s="21">
        <f>IF(B43="","",VALUE(LEFT(B43,4)))</f>
        <v/>
      </c>
      <c r="N43" s="21">
        <f>IF(B43="","",VALUE(MID(B43,6,2)))</f>
        <v/>
      </c>
    </row>
    <row r="44" ht="20" customHeight="1">
      <c r="A44" s="21">
        <f>IF(B44="","",ROW()-3)</f>
        <v/>
      </c>
      <c r="B44" s="29" t="n"/>
      <c r="C44" s="29" t="n"/>
      <c r="D44" s="29" t="n"/>
      <c r="E44" s="41" t="n"/>
      <c r="F44" s="31" t="n"/>
      <c r="G44" s="13">
        <f>IF(OR(E44="",F44=""),"",E44*F44)</f>
        <v/>
      </c>
      <c r="H44" s="31" t="n"/>
      <c r="I44" s="13">
        <f>IF(OR(E44="",E44=0),"",(G44+IF(H44="",0,H44))/E44)</f>
        <v/>
      </c>
      <c r="J44" s="29" t="n"/>
      <c r="K44" s="29" t="n"/>
      <c r="L44" s="29" t="n"/>
      <c r="M44" s="21">
        <f>IF(B44="","",VALUE(LEFT(B44,4)))</f>
        <v/>
      </c>
      <c r="N44" s="21">
        <f>IF(B44="","",VALUE(MID(B44,6,2)))</f>
        <v/>
      </c>
    </row>
    <row r="45" ht="20" customHeight="1">
      <c r="A45" s="21">
        <f>IF(B45="","",ROW()-3)</f>
        <v/>
      </c>
      <c r="B45" s="29" t="n"/>
      <c r="C45" s="29" t="n"/>
      <c r="D45" s="29" t="n"/>
      <c r="E45" s="41" t="n"/>
      <c r="F45" s="31" t="n"/>
      <c r="G45" s="13">
        <f>IF(OR(E45="",F45=""),"",E45*F45)</f>
        <v/>
      </c>
      <c r="H45" s="31" t="n"/>
      <c r="I45" s="13">
        <f>IF(OR(E45="",E45=0),"",(G45+IF(H45="",0,H45))/E45)</f>
        <v/>
      </c>
      <c r="J45" s="29" t="n"/>
      <c r="K45" s="29" t="n"/>
      <c r="L45" s="29" t="n"/>
      <c r="M45" s="21">
        <f>IF(B45="","",VALUE(LEFT(B45,4)))</f>
        <v/>
      </c>
      <c r="N45" s="21">
        <f>IF(B45="","",VALUE(MID(B45,6,2)))</f>
        <v/>
      </c>
    </row>
    <row r="46" ht="20" customHeight="1">
      <c r="A46" s="21">
        <f>IF(B46="","",ROW()-3)</f>
        <v/>
      </c>
      <c r="B46" s="29" t="n"/>
      <c r="C46" s="29" t="n"/>
      <c r="D46" s="29" t="n"/>
      <c r="E46" s="41" t="n"/>
      <c r="F46" s="31" t="n"/>
      <c r="G46" s="13">
        <f>IF(OR(E46="",F46=""),"",E46*F46)</f>
        <v/>
      </c>
      <c r="H46" s="31" t="n"/>
      <c r="I46" s="13">
        <f>IF(OR(E46="",E46=0),"",(G46+IF(H46="",0,H46))/E46)</f>
        <v/>
      </c>
      <c r="J46" s="29" t="n"/>
      <c r="K46" s="29" t="n"/>
      <c r="L46" s="29" t="n"/>
      <c r="M46" s="21">
        <f>IF(B46="","",VALUE(LEFT(B46,4)))</f>
        <v/>
      </c>
      <c r="N46" s="21">
        <f>IF(B46="","",VALUE(MID(B46,6,2)))</f>
        <v/>
      </c>
    </row>
    <row r="47" ht="20" customHeight="1">
      <c r="A47" s="21">
        <f>IF(B47="","",ROW()-3)</f>
        <v/>
      </c>
      <c r="B47" s="29" t="n"/>
      <c r="C47" s="29" t="n"/>
      <c r="D47" s="29" t="n"/>
      <c r="E47" s="41" t="n"/>
      <c r="F47" s="31" t="n"/>
      <c r="G47" s="13">
        <f>IF(OR(E47="",F47=""),"",E47*F47)</f>
        <v/>
      </c>
      <c r="H47" s="31" t="n"/>
      <c r="I47" s="13">
        <f>IF(OR(E47="",E47=0),"",(G47+IF(H47="",0,H47))/E47)</f>
        <v/>
      </c>
      <c r="J47" s="29" t="n"/>
      <c r="K47" s="29" t="n"/>
      <c r="L47" s="29" t="n"/>
      <c r="M47" s="21">
        <f>IF(B47="","",VALUE(LEFT(B47,4)))</f>
        <v/>
      </c>
      <c r="N47" s="21">
        <f>IF(B47="","",VALUE(MID(B47,6,2)))</f>
        <v/>
      </c>
    </row>
    <row r="48" ht="20" customHeight="1">
      <c r="A48" s="21">
        <f>IF(B48="","",ROW()-3)</f>
        <v/>
      </c>
      <c r="B48" s="29" t="n"/>
      <c r="C48" s="29" t="n"/>
      <c r="D48" s="29" t="n"/>
      <c r="E48" s="41" t="n"/>
      <c r="F48" s="31" t="n"/>
      <c r="G48" s="13">
        <f>IF(OR(E48="",F48=""),"",E48*F48)</f>
        <v/>
      </c>
      <c r="H48" s="31" t="n"/>
      <c r="I48" s="13">
        <f>IF(OR(E48="",E48=0),"",(G48+IF(H48="",0,H48))/E48)</f>
        <v/>
      </c>
      <c r="J48" s="29" t="n"/>
      <c r="K48" s="29" t="n"/>
      <c r="L48" s="29" t="n"/>
      <c r="M48" s="21">
        <f>IF(B48="","",VALUE(LEFT(B48,4)))</f>
        <v/>
      </c>
      <c r="N48" s="21">
        <f>IF(B48="","",VALUE(MID(B48,6,2)))</f>
        <v/>
      </c>
    </row>
    <row r="49" ht="20" customHeight="1">
      <c r="A49" s="21">
        <f>IF(B49="","",ROW()-3)</f>
        <v/>
      </c>
      <c r="B49" s="29" t="n"/>
      <c r="C49" s="29" t="n"/>
      <c r="D49" s="29" t="n"/>
      <c r="E49" s="41" t="n"/>
      <c r="F49" s="31" t="n"/>
      <c r="G49" s="13">
        <f>IF(OR(E49="",F49=""),"",E49*F49)</f>
        <v/>
      </c>
      <c r="H49" s="31" t="n"/>
      <c r="I49" s="13">
        <f>IF(OR(E49="",E49=0),"",(G49+IF(H49="",0,H49))/E49)</f>
        <v/>
      </c>
      <c r="J49" s="29" t="n"/>
      <c r="K49" s="29" t="n"/>
      <c r="L49" s="29" t="n"/>
      <c r="M49" s="21">
        <f>IF(B49="","",VALUE(LEFT(B49,4)))</f>
        <v/>
      </c>
      <c r="N49" s="21">
        <f>IF(B49="","",VALUE(MID(B49,6,2)))</f>
        <v/>
      </c>
    </row>
    <row r="50" ht="20" customHeight="1">
      <c r="A50" s="21">
        <f>IF(B50="","",ROW()-3)</f>
        <v/>
      </c>
      <c r="B50" s="29" t="n"/>
      <c r="C50" s="29" t="n"/>
      <c r="D50" s="29" t="n"/>
      <c r="E50" s="41" t="n"/>
      <c r="F50" s="31" t="n"/>
      <c r="G50" s="13">
        <f>IF(OR(E50="",F50=""),"",E50*F50)</f>
        <v/>
      </c>
      <c r="H50" s="31" t="n"/>
      <c r="I50" s="13">
        <f>IF(OR(E50="",E50=0),"",(G50+IF(H50="",0,H50))/E50)</f>
        <v/>
      </c>
      <c r="J50" s="29" t="n"/>
      <c r="K50" s="29" t="n"/>
      <c r="L50" s="29" t="n"/>
      <c r="M50" s="21">
        <f>IF(B50="","",VALUE(LEFT(B50,4)))</f>
        <v/>
      </c>
      <c r="N50" s="21">
        <f>IF(B50="","",VALUE(MID(B50,6,2)))</f>
        <v/>
      </c>
    </row>
    <row r="51" ht="20" customHeight="1">
      <c r="A51" s="21">
        <f>IF(B51="","",ROW()-3)</f>
        <v/>
      </c>
      <c r="B51" s="29" t="n"/>
      <c r="C51" s="29" t="n"/>
      <c r="D51" s="29" t="n"/>
      <c r="E51" s="41" t="n"/>
      <c r="F51" s="31" t="n"/>
      <c r="G51" s="13">
        <f>IF(OR(E51="",F51=""),"",E51*F51)</f>
        <v/>
      </c>
      <c r="H51" s="31" t="n"/>
      <c r="I51" s="13">
        <f>IF(OR(E51="",E51=0),"",(G51+IF(H51="",0,H51))/E51)</f>
        <v/>
      </c>
      <c r="J51" s="29" t="n"/>
      <c r="K51" s="29" t="n"/>
      <c r="L51" s="29" t="n"/>
      <c r="M51" s="21">
        <f>IF(B51="","",VALUE(LEFT(B51,4)))</f>
        <v/>
      </c>
      <c r="N51" s="21">
        <f>IF(B51="","",VALUE(MID(B51,6,2)))</f>
        <v/>
      </c>
    </row>
    <row r="52" ht="20" customHeight="1">
      <c r="A52" s="21">
        <f>IF(B52="","",ROW()-3)</f>
        <v/>
      </c>
      <c r="B52" s="29" t="n"/>
      <c r="C52" s="29" t="n"/>
      <c r="D52" s="29" t="n"/>
      <c r="E52" s="41" t="n"/>
      <c r="F52" s="31" t="n"/>
      <c r="G52" s="13">
        <f>IF(OR(E52="",F52=""),"",E52*F52)</f>
        <v/>
      </c>
      <c r="H52" s="31" t="n"/>
      <c r="I52" s="13">
        <f>IF(OR(E52="",E52=0),"",(G52+IF(H52="",0,H52))/E52)</f>
        <v/>
      </c>
      <c r="J52" s="29" t="n"/>
      <c r="K52" s="29" t="n"/>
      <c r="L52" s="29" t="n"/>
      <c r="M52" s="21">
        <f>IF(B52="","",VALUE(LEFT(B52,4)))</f>
        <v/>
      </c>
      <c r="N52" s="21">
        <f>IF(B52="","",VALUE(MID(B52,6,2)))</f>
        <v/>
      </c>
    </row>
    <row r="53" ht="20" customHeight="1">
      <c r="A53" s="21">
        <f>IF(B53="","",ROW()-3)</f>
        <v/>
      </c>
      <c r="B53" s="29" t="n"/>
      <c r="C53" s="29" t="n"/>
      <c r="D53" s="29" t="n"/>
      <c r="E53" s="41" t="n"/>
      <c r="F53" s="31" t="n"/>
      <c r="G53" s="13">
        <f>IF(OR(E53="",F53=""),"",E53*F53)</f>
        <v/>
      </c>
      <c r="H53" s="31" t="n"/>
      <c r="I53" s="13">
        <f>IF(OR(E53="",E53=0),"",(G53+IF(H53="",0,H53))/E53)</f>
        <v/>
      </c>
      <c r="J53" s="29" t="n"/>
      <c r="K53" s="29" t="n"/>
      <c r="L53" s="29" t="n"/>
      <c r="M53" s="21">
        <f>IF(B53="","",VALUE(LEFT(B53,4)))</f>
        <v/>
      </c>
      <c r="N53" s="21">
        <f>IF(B53="","",VALUE(MID(B53,6,2)))</f>
        <v/>
      </c>
    </row>
    <row r="54" ht="20" customHeight="1">
      <c r="A54" s="21">
        <f>IF(B54="","",ROW()-3)</f>
        <v/>
      </c>
      <c r="B54" s="29" t="n"/>
      <c r="C54" s="29" t="n"/>
      <c r="D54" s="29" t="n"/>
      <c r="E54" s="41" t="n"/>
      <c r="F54" s="31" t="n"/>
      <c r="G54" s="13">
        <f>IF(OR(E54="",F54=""),"",E54*F54)</f>
        <v/>
      </c>
      <c r="H54" s="31" t="n"/>
      <c r="I54" s="13">
        <f>IF(OR(E54="",E54=0),"",(G54+IF(H54="",0,H54))/E54)</f>
        <v/>
      </c>
      <c r="J54" s="29" t="n"/>
      <c r="K54" s="29" t="n"/>
      <c r="L54" s="29" t="n"/>
      <c r="M54" s="21">
        <f>IF(B54="","",VALUE(LEFT(B54,4)))</f>
        <v/>
      </c>
      <c r="N54" s="21">
        <f>IF(B54="","",VALUE(MID(B54,6,2)))</f>
        <v/>
      </c>
    </row>
    <row r="55" ht="20" customHeight="1">
      <c r="A55" s="21">
        <f>IF(B55="","",ROW()-3)</f>
        <v/>
      </c>
      <c r="B55" s="29" t="n"/>
      <c r="C55" s="29" t="n"/>
      <c r="D55" s="29" t="n"/>
      <c r="E55" s="41" t="n"/>
      <c r="F55" s="31" t="n"/>
      <c r="G55" s="13">
        <f>IF(OR(E55="",F55=""),"",E55*F55)</f>
        <v/>
      </c>
      <c r="H55" s="31" t="n"/>
      <c r="I55" s="13">
        <f>IF(OR(E55="",E55=0),"",(G55+IF(H55="",0,H55))/E55)</f>
        <v/>
      </c>
      <c r="J55" s="29" t="n"/>
      <c r="K55" s="29" t="n"/>
      <c r="L55" s="29" t="n"/>
      <c r="M55" s="21">
        <f>IF(B55="","",VALUE(LEFT(B55,4)))</f>
        <v/>
      </c>
      <c r="N55" s="21">
        <f>IF(B55="","",VALUE(MID(B55,6,2)))</f>
        <v/>
      </c>
    </row>
    <row r="56" ht="20" customHeight="1">
      <c r="A56" s="21">
        <f>IF(B56="","",ROW()-3)</f>
        <v/>
      </c>
      <c r="B56" s="29" t="n"/>
      <c r="C56" s="29" t="n"/>
      <c r="D56" s="29" t="n"/>
      <c r="E56" s="41" t="n"/>
      <c r="F56" s="31" t="n"/>
      <c r="G56" s="13">
        <f>IF(OR(E56="",F56=""),"",E56*F56)</f>
        <v/>
      </c>
      <c r="H56" s="31" t="n"/>
      <c r="I56" s="13">
        <f>IF(OR(E56="",E56=0),"",(G56+IF(H56="",0,H56))/E56)</f>
        <v/>
      </c>
      <c r="J56" s="29" t="n"/>
      <c r="K56" s="29" t="n"/>
      <c r="L56" s="29" t="n"/>
      <c r="M56" s="21">
        <f>IF(B56="","",VALUE(LEFT(B56,4)))</f>
        <v/>
      </c>
      <c r="N56" s="21">
        <f>IF(B56="","",VALUE(MID(B56,6,2)))</f>
        <v/>
      </c>
    </row>
    <row r="57" ht="20" customHeight="1">
      <c r="A57" s="21">
        <f>IF(B57="","",ROW()-3)</f>
        <v/>
      </c>
      <c r="B57" s="29" t="n"/>
      <c r="C57" s="29" t="n"/>
      <c r="D57" s="29" t="n"/>
      <c r="E57" s="41" t="n"/>
      <c r="F57" s="31" t="n"/>
      <c r="G57" s="13">
        <f>IF(OR(E57="",F57=""),"",E57*F57)</f>
        <v/>
      </c>
      <c r="H57" s="31" t="n"/>
      <c r="I57" s="13">
        <f>IF(OR(E57="",E57=0),"",(G57+IF(H57="",0,H57))/E57)</f>
        <v/>
      </c>
      <c r="J57" s="29" t="n"/>
      <c r="K57" s="29" t="n"/>
      <c r="L57" s="29" t="n"/>
      <c r="M57" s="21">
        <f>IF(B57="","",VALUE(LEFT(B57,4)))</f>
        <v/>
      </c>
      <c r="N57" s="21">
        <f>IF(B57="","",VALUE(MID(B57,6,2)))</f>
        <v/>
      </c>
    </row>
    <row r="58" ht="20" customHeight="1">
      <c r="A58" s="21">
        <f>IF(B58="","",ROW()-3)</f>
        <v/>
      </c>
      <c r="B58" s="29" t="n"/>
      <c r="C58" s="29" t="n"/>
      <c r="D58" s="29" t="n"/>
      <c r="E58" s="41" t="n"/>
      <c r="F58" s="31" t="n"/>
      <c r="G58" s="13">
        <f>IF(OR(E58="",F58=""),"",E58*F58)</f>
        <v/>
      </c>
      <c r="H58" s="31" t="n"/>
      <c r="I58" s="13">
        <f>IF(OR(E58="",E58=0),"",(G58+IF(H58="",0,H58))/E58)</f>
        <v/>
      </c>
      <c r="J58" s="29" t="n"/>
      <c r="K58" s="29" t="n"/>
      <c r="L58" s="29" t="n"/>
      <c r="M58" s="21">
        <f>IF(B58="","",VALUE(LEFT(B58,4)))</f>
        <v/>
      </c>
      <c r="N58" s="21">
        <f>IF(B58="","",VALUE(MID(B58,6,2)))</f>
        <v/>
      </c>
    </row>
    <row r="59" ht="20" customHeight="1">
      <c r="A59" s="21">
        <f>IF(B59="","",ROW()-3)</f>
        <v/>
      </c>
      <c r="B59" s="29" t="n"/>
      <c r="C59" s="29" t="n"/>
      <c r="D59" s="29" t="n"/>
      <c r="E59" s="41" t="n"/>
      <c r="F59" s="31" t="n"/>
      <c r="G59" s="13">
        <f>IF(OR(E59="",F59=""),"",E59*F59)</f>
        <v/>
      </c>
      <c r="H59" s="31" t="n"/>
      <c r="I59" s="13">
        <f>IF(OR(E59="",E59=0),"",(G59+IF(H59="",0,H59))/E59)</f>
        <v/>
      </c>
      <c r="J59" s="29" t="n"/>
      <c r="K59" s="29" t="n"/>
      <c r="L59" s="29" t="n"/>
      <c r="M59" s="21">
        <f>IF(B59="","",VALUE(LEFT(B59,4)))</f>
        <v/>
      </c>
      <c r="N59" s="21">
        <f>IF(B59="","",VALUE(MID(B59,6,2)))</f>
        <v/>
      </c>
    </row>
    <row r="60" ht="20" customHeight="1">
      <c r="A60" s="21">
        <f>IF(B60="","",ROW()-3)</f>
        <v/>
      </c>
      <c r="B60" s="29" t="n"/>
      <c r="C60" s="29" t="n"/>
      <c r="D60" s="29" t="n"/>
      <c r="E60" s="41" t="n"/>
      <c r="F60" s="31" t="n"/>
      <c r="G60" s="13">
        <f>IF(OR(E60="",F60=""),"",E60*F60)</f>
        <v/>
      </c>
      <c r="H60" s="31" t="n"/>
      <c r="I60" s="13">
        <f>IF(OR(E60="",E60=0),"",(G60+IF(H60="",0,H60))/E60)</f>
        <v/>
      </c>
      <c r="J60" s="29" t="n"/>
      <c r="K60" s="29" t="n"/>
      <c r="L60" s="29" t="n"/>
      <c r="M60" s="21">
        <f>IF(B60="","",VALUE(LEFT(B60,4)))</f>
        <v/>
      </c>
      <c r="N60" s="21">
        <f>IF(B60="","",VALUE(MID(B60,6,2)))</f>
        <v/>
      </c>
    </row>
    <row r="61" ht="20" customHeight="1">
      <c r="A61" s="21">
        <f>IF(B61="","",ROW()-3)</f>
        <v/>
      </c>
      <c r="B61" s="29" t="n"/>
      <c r="C61" s="29" t="n"/>
      <c r="D61" s="29" t="n"/>
      <c r="E61" s="41" t="n"/>
      <c r="F61" s="31" t="n"/>
      <c r="G61" s="13">
        <f>IF(OR(E61="",F61=""),"",E61*F61)</f>
        <v/>
      </c>
      <c r="H61" s="31" t="n"/>
      <c r="I61" s="13">
        <f>IF(OR(E61="",E61=0),"",(G61+IF(H61="",0,H61))/E61)</f>
        <v/>
      </c>
      <c r="J61" s="29" t="n"/>
      <c r="K61" s="29" t="n"/>
      <c r="L61" s="29" t="n"/>
      <c r="M61" s="21">
        <f>IF(B61="","",VALUE(LEFT(B61,4)))</f>
        <v/>
      </c>
      <c r="N61" s="21">
        <f>IF(B61="","",VALUE(MID(B61,6,2)))</f>
        <v/>
      </c>
    </row>
    <row r="62" ht="20" customHeight="1">
      <c r="A62" s="21">
        <f>IF(B62="","",ROW()-3)</f>
        <v/>
      </c>
      <c r="B62" s="29" t="n"/>
      <c r="C62" s="29" t="n"/>
      <c r="D62" s="29" t="n"/>
      <c r="E62" s="41" t="n"/>
      <c r="F62" s="31" t="n"/>
      <c r="G62" s="13">
        <f>IF(OR(E62="",F62=""),"",E62*F62)</f>
        <v/>
      </c>
      <c r="H62" s="31" t="n"/>
      <c r="I62" s="13">
        <f>IF(OR(E62="",E62=0),"",(G62+IF(H62="",0,H62))/E62)</f>
        <v/>
      </c>
      <c r="J62" s="29" t="n"/>
      <c r="K62" s="29" t="n"/>
      <c r="L62" s="29" t="n"/>
      <c r="M62" s="21">
        <f>IF(B62="","",VALUE(LEFT(B62,4)))</f>
        <v/>
      </c>
      <c r="N62" s="21">
        <f>IF(B62="","",VALUE(MID(B62,6,2)))</f>
        <v/>
      </c>
    </row>
    <row r="63" ht="20" customHeight="1">
      <c r="A63" s="21">
        <f>IF(B63="","",ROW()-3)</f>
        <v/>
      </c>
      <c r="B63" s="29" t="n"/>
      <c r="C63" s="29" t="n"/>
      <c r="D63" s="29" t="n"/>
      <c r="E63" s="41" t="n"/>
      <c r="F63" s="31" t="n"/>
      <c r="G63" s="13">
        <f>IF(OR(E63="",F63=""),"",E63*F63)</f>
        <v/>
      </c>
      <c r="H63" s="31" t="n"/>
      <c r="I63" s="13">
        <f>IF(OR(E63="",E63=0),"",(G63+IF(H63="",0,H63))/E63)</f>
        <v/>
      </c>
      <c r="J63" s="29" t="n"/>
      <c r="K63" s="29" t="n"/>
      <c r="L63" s="29" t="n"/>
      <c r="M63" s="21">
        <f>IF(B63="","",VALUE(LEFT(B63,4)))</f>
        <v/>
      </c>
      <c r="N63" s="21">
        <f>IF(B63="","",VALUE(MID(B63,6,2)))</f>
        <v/>
      </c>
    </row>
    <row r="64" ht="20" customHeight="1">
      <c r="A64" s="21">
        <f>IF(B64="","",ROW()-3)</f>
        <v/>
      </c>
      <c r="B64" s="29" t="n"/>
      <c r="C64" s="29" t="n"/>
      <c r="D64" s="29" t="n"/>
      <c r="E64" s="41" t="n"/>
      <c r="F64" s="31" t="n"/>
      <c r="G64" s="13">
        <f>IF(OR(E64="",F64=""),"",E64*F64)</f>
        <v/>
      </c>
      <c r="H64" s="31" t="n"/>
      <c r="I64" s="13">
        <f>IF(OR(E64="",E64=0),"",(G64+IF(H64="",0,H64))/E64)</f>
        <v/>
      </c>
      <c r="J64" s="29" t="n"/>
      <c r="K64" s="29" t="n"/>
      <c r="L64" s="29" t="n"/>
      <c r="M64" s="21">
        <f>IF(B64="","",VALUE(LEFT(B64,4)))</f>
        <v/>
      </c>
      <c r="N64" s="21">
        <f>IF(B64="","",VALUE(MID(B64,6,2)))</f>
        <v/>
      </c>
    </row>
    <row r="65" ht="20" customHeight="1">
      <c r="A65" s="21">
        <f>IF(B65="","",ROW()-3)</f>
        <v/>
      </c>
      <c r="B65" s="29" t="n"/>
      <c r="C65" s="29" t="n"/>
      <c r="D65" s="29" t="n"/>
      <c r="E65" s="41" t="n"/>
      <c r="F65" s="31" t="n"/>
      <c r="G65" s="13">
        <f>IF(OR(E65="",F65=""),"",E65*F65)</f>
        <v/>
      </c>
      <c r="H65" s="31" t="n"/>
      <c r="I65" s="13">
        <f>IF(OR(E65="",E65=0),"",(G65+IF(H65="",0,H65))/E65)</f>
        <v/>
      </c>
      <c r="J65" s="29" t="n"/>
      <c r="K65" s="29" t="n"/>
      <c r="L65" s="29" t="n"/>
      <c r="M65" s="21">
        <f>IF(B65="","",VALUE(LEFT(B65,4)))</f>
        <v/>
      </c>
      <c r="N65" s="21">
        <f>IF(B65="","",VALUE(MID(B65,6,2)))</f>
        <v/>
      </c>
    </row>
    <row r="66" ht="20" customHeight="1">
      <c r="A66" s="21">
        <f>IF(B66="","",ROW()-3)</f>
        <v/>
      </c>
      <c r="B66" s="29" t="n"/>
      <c r="C66" s="29" t="n"/>
      <c r="D66" s="29" t="n"/>
      <c r="E66" s="41" t="n"/>
      <c r="F66" s="31" t="n"/>
      <c r="G66" s="13">
        <f>IF(OR(E66="",F66=""),"",E66*F66)</f>
        <v/>
      </c>
      <c r="H66" s="31" t="n"/>
      <c r="I66" s="13">
        <f>IF(OR(E66="",E66=0),"",(G66+IF(H66="",0,H66))/E66)</f>
        <v/>
      </c>
      <c r="J66" s="29" t="n"/>
      <c r="K66" s="29" t="n"/>
      <c r="L66" s="29" t="n"/>
      <c r="M66" s="21">
        <f>IF(B66="","",VALUE(LEFT(B66,4)))</f>
        <v/>
      </c>
      <c r="N66" s="21">
        <f>IF(B66="","",VALUE(MID(B66,6,2)))</f>
        <v/>
      </c>
    </row>
    <row r="67" ht="20" customHeight="1">
      <c r="A67" s="21">
        <f>IF(B67="","",ROW()-3)</f>
        <v/>
      </c>
      <c r="B67" s="29" t="n"/>
      <c r="C67" s="29" t="n"/>
      <c r="D67" s="29" t="n"/>
      <c r="E67" s="41" t="n"/>
      <c r="F67" s="31" t="n"/>
      <c r="G67" s="13">
        <f>IF(OR(E67="",F67=""),"",E67*F67)</f>
        <v/>
      </c>
      <c r="H67" s="31" t="n"/>
      <c r="I67" s="13">
        <f>IF(OR(E67="",E67=0),"",(G67+IF(H67="",0,H67))/E67)</f>
        <v/>
      </c>
      <c r="J67" s="29" t="n"/>
      <c r="K67" s="29" t="n"/>
      <c r="L67" s="29" t="n"/>
      <c r="M67" s="21">
        <f>IF(B67="","",VALUE(LEFT(B67,4)))</f>
        <v/>
      </c>
      <c r="N67" s="21">
        <f>IF(B67="","",VALUE(MID(B67,6,2)))</f>
        <v/>
      </c>
    </row>
    <row r="68" ht="20" customHeight="1">
      <c r="A68" s="21">
        <f>IF(B68="","",ROW()-3)</f>
        <v/>
      </c>
      <c r="B68" s="29" t="n"/>
      <c r="C68" s="29" t="n"/>
      <c r="D68" s="29" t="n"/>
      <c r="E68" s="41" t="n"/>
      <c r="F68" s="31" t="n"/>
      <c r="G68" s="13">
        <f>IF(OR(E68="",F68=""),"",E68*F68)</f>
        <v/>
      </c>
      <c r="H68" s="31" t="n"/>
      <c r="I68" s="13">
        <f>IF(OR(E68="",E68=0),"",(G68+IF(H68="",0,H68))/E68)</f>
        <v/>
      </c>
      <c r="J68" s="29" t="n"/>
      <c r="K68" s="29" t="n"/>
      <c r="L68" s="29" t="n"/>
      <c r="M68" s="21">
        <f>IF(B68="","",VALUE(LEFT(B68,4)))</f>
        <v/>
      </c>
      <c r="N68" s="21">
        <f>IF(B68="","",VALUE(MID(B68,6,2)))</f>
        <v/>
      </c>
    </row>
    <row r="69" ht="20" customHeight="1">
      <c r="A69" s="21">
        <f>IF(B69="","",ROW()-3)</f>
        <v/>
      </c>
      <c r="B69" s="29" t="n"/>
      <c r="C69" s="29" t="n"/>
      <c r="D69" s="29" t="n"/>
      <c r="E69" s="41" t="n"/>
      <c r="F69" s="31" t="n"/>
      <c r="G69" s="13">
        <f>IF(OR(E69="",F69=""),"",E69*F69)</f>
        <v/>
      </c>
      <c r="H69" s="31" t="n"/>
      <c r="I69" s="13">
        <f>IF(OR(E69="",E69=0),"",(G69+IF(H69="",0,H69))/E69)</f>
        <v/>
      </c>
      <c r="J69" s="29" t="n"/>
      <c r="K69" s="29" t="n"/>
      <c r="L69" s="29" t="n"/>
      <c r="M69" s="21">
        <f>IF(B69="","",VALUE(LEFT(B69,4)))</f>
        <v/>
      </c>
      <c r="N69" s="21">
        <f>IF(B69="","",VALUE(MID(B69,6,2)))</f>
        <v/>
      </c>
    </row>
    <row r="70" ht="20" customHeight="1">
      <c r="A70" s="21">
        <f>IF(B70="","",ROW()-3)</f>
        <v/>
      </c>
      <c r="B70" s="29" t="n"/>
      <c r="C70" s="29" t="n"/>
      <c r="D70" s="29" t="n"/>
      <c r="E70" s="41" t="n"/>
      <c r="F70" s="31" t="n"/>
      <c r="G70" s="13">
        <f>IF(OR(E70="",F70=""),"",E70*F70)</f>
        <v/>
      </c>
      <c r="H70" s="31" t="n"/>
      <c r="I70" s="13">
        <f>IF(OR(E70="",E70=0),"",(G70+IF(H70="",0,H70))/E70)</f>
        <v/>
      </c>
      <c r="J70" s="29" t="n"/>
      <c r="K70" s="29" t="n"/>
      <c r="L70" s="29" t="n"/>
      <c r="M70" s="21">
        <f>IF(B70="","",VALUE(LEFT(B70,4)))</f>
        <v/>
      </c>
      <c r="N70" s="21">
        <f>IF(B70="","",VALUE(MID(B70,6,2)))</f>
        <v/>
      </c>
    </row>
    <row r="71" ht="20" customHeight="1">
      <c r="A71" s="21">
        <f>IF(B71="","",ROW()-3)</f>
        <v/>
      </c>
      <c r="B71" s="29" t="n"/>
      <c r="C71" s="29" t="n"/>
      <c r="D71" s="29" t="n"/>
      <c r="E71" s="41" t="n"/>
      <c r="F71" s="31" t="n"/>
      <c r="G71" s="13">
        <f>IF(OR(E71="",F71=""),"",E71*F71)</f>
        <v/>
      </c>
      <c r="H71" s="31" t="n"/>
      <c r="I71" s="13">
        <f>IF(OR(E71="",E71=0),"",(G71+IF(H71="",0,H71))/E71)</f>
        <v/>
      </c>
      <c r="J71" s="29" t="n"/>
      <c r="K71" s="29" t="n"/>
      <c r="L71" s="29" t="n"/>
      <c r="M71" s="21">
        <f>IF(B71="","",VALUE(LEFT(B71,4)))</f>
        <v/>
      </c>
      <c r="N71" s="21">
        <f>IF(B71="","",VALUE(MID(B71,6,2)))</f>
        <v/>
      </c>
    </row>
    <row r="72" ht="20" customHeight="1">
      <c r="A72" s="21">
        <f>IF(B72="","",ROW()-3)</f>
        <v/>
      </c>
      <c r="B72" s="29" t="n"/>
      <c r="C72" s="29" t="n"/>
      <c r="D72" s="29" t="n"/>
      <c r="E72" s="41" t="n"/>
      <c r="F72" s="31" t="n"/>
      <c r="G72" s="13">
        <f>IF(OR(E72="",F72=""),"",E72*F72)</f>
        <v/>
      </c>
      <c r="H72" s="31" t="n"/>
      <c r="I72" s="13">
        <f>IF(OR(E72="",E72=0),"",(G72+IF(H72="",0,H72))/E72)</f>
        <v/>
      </c>
      <c r="J72" s="29" t="n"/>
      <c r="K72" s="29" t="n"/>
      <c r="L72" s="29" t="n"/>
      <c r="M72" s="21">
        <f>IF(B72="","",VALUE(LEFT(B72,4)))</f>
        <v/>
      </c>
      <c r="N72" s="21">
        <f>IF(B72="","",VALUE(MID(B72,6,2)))</f>
        <v/>
      </c>
    </row>
    <row r="73" ht="20" customHeight="1">
      <c r="A73" s="21">
        <f>IF(B73="","",ROW()-3)</f>
        <v/>
      </c>
      <c r="B73" s="29" t="n"/>
      <c r="C73" s="29" t="n"/>
      <c r="D73" s="29" t="n"/>
      <c r="E73" s="41" t="n"/>
      <c r="F73" s="31" t="n"/>
      <c r="G73" s="13">
        <f>IF(OR(E73="",F73=""),"",E73*F73)</f>
        <v/>
      </c>
      <c r="H73" s="31" t="n"/>
      <c r="I73" s="13">
        <f>IF(OR(E73="",E73=0),"",(G73+IF(H73="",0,H73))/E73)</f>
        <v/>
      </c>
      <c r="J73" s="29" t="n"/>
      <c r="K73" s="29" t="n"/>
      <c r="L73" s="29" t="n"/>
      <c r="M73" s="21">
        <f>IF(B73="","",VALUE(LEFT(B73,4)))</f>
        <v/>
      </c>
      <c r="N73" s="21">
        <f>IF(B73="","",VALUE(MID(B73,6,2)))</f>
        <v/>
      </c>
    </row>
    <row r="74" ht="20" customHeight="1">
      <c r="A74" s="21">
        <f>IF(B74="","",ROW()-3)</f>
        <v/>
      </c>
      <c r="B74" s="29" t="n"/>
      <c r="C74" s="29" t="n"/>
      <c r="D74" s="29" t="n"/>
      <c r="E74" s="41" t="n"/>
      <c r="F74" s="31" t="n"/>
      <c r="G74" s="13">
        <f>IF(OR(E74="",F74=""),"",E74*F74)</f>
        <v/>
      </c>
      <c r="H74" s="31" t="n"/>
      <c r="I74" s="13">
        <f>IF(OR(E74="",E74=0),"",(G74+IF(H74="",0,H74))/E74)</f>
        <v/>
      </c>
      <c r="J74" s="29" t="n"/>
      <c r="K74" s="29" t="n"/>
      <c r="L74" s="29" t="n"/>
      <c r="M74" s="21">
        <f>IF(B74="","",VALUE(LEFT(B74,4)))</f>
        <v/>
      </c>
      <c r="N74" s="21">
        <f>IF(B74="","",VALUE(MID(B74,6,2)))</f>
        <v/>
      </c>
    </row>
    <row r="75" ht="20" customHeight="1">
      <c r="A75" s="21">
        <f>IF(B75="","",ROW()-3)</f>
        <v/>
      </c>
      <c r="B75" s="29" t="n"/>
      <c r="C75" s="29" t="n"/>
      <c r="D75" s="29" t="n"/>
      <c r="E75" s="41" t="n"/>
      <c r="F75" s="31" t="n"/>
      <c r="G75" s="13">
        <f>IF(OR(E75="",F75=""),"",E75*F75)</f>
        <v/>
      </c>
      <c r="H75" s="31" t="n"/>
      <c r="I75" s="13">
        <f>IF(OR(E75="",E75=0),"",(G75+IF(H75="",0,H75))/E75)</f>
        <v/>
      </c>
      <c r="J75" s="29" t="n"/>
      <c r="K75" s="29" t="n"/>
      <c r="L75" s="29" t="n"/>
      <c r="M75" s="21">
        <f>IF(B75="","",VALUE(LEFT(B75,4)))</f>
        <v/>
      </c>
      <c r="N75" s="21">
        <f>IF(B75="","",VALUE(MID(B75,6,2)))</f>
        <v/>
      </c>
    </row>
    <row r="76" ht="20" customHeight="1">
      <c r="A76" s="21">
        <f>IF(B76="","",ROW()-3)</f>
        <v/>
      </c>
      <c r="B76" s="29" t="n"/>
      <c r="C76" s="29" t="n"/>
      <c r="D76" s="29" t="n"/>
      <c r="E76" s="41" t="n"/>
      <c r="F76" s="31" t="n"/>
      <c r="G76" s="13">
        <f>IF(OR(E76="",F76=""),"",E76*F76)</f>
        <v/>
      </c>
      <c r="H76" s="31" t="n"/>
      <c r="I76" s="13">
        <f>IF(OR(E76="",E76=0),"",(G76+IF(H76="",0,H76))/E76)</f>
        <v/>
      </c>
      <c r="J76" s="29" t="n"/>
      <c r="K76" s="29" t="n"/>
      <c r="L76" s="29" t="n"/>
      <c r="M76" s="21">
        <f>IF(B76="","",VALUE(LEFT(B76,4)))</f>
        <v/>
      </c>
      <c r="N76" s="21">
        <f>IF(B76="","",VALUE(MID(B76,6,2)))</f>
        <v/>
      </c>
    </row>
    <row r="77" ht="20" customHeight="1">
      <c r="A77" s="21">
        <f>IF(B77="","",ROW()-3)</f>
        <v/>
      </c>
      <c r="B77" s="29" t="n"/>
      <c r="C77" s="29" t="n"/>
      <c r="D77" s="29" t="n"/>
      <c r="E77" s="41" t="n"/>
      <c r="F77" s="31" t="n"/>
      <c r="G77" s="13">
        <f>IF(OR(E77="",F77=""),"",E77*F77)</f>
        <v/>
      </c>
      <c r="H77" s="31" t="n"/>
      <c r="I77" s="13">
        <f>IF(OR(E77="",E77=0),"",(G77+IF(H77="",0,H77))/E77)</f>
        <v/>
      </c>
      <c r="J77" s="29" t="n"/>
      <c r="K77" s="29" t="n"/>
      <c r="L77" s="29" t="n"/>
      <c r="M77" s="21">
        <f>IF(B77="","",VALUE(LEFT(B77,4)))</f>
        <v/>
      </c>
      <c r="N77" s="21">
        <f>IF(B77="","",VALUE(MID(B77,6,2)))</f>
        <v/>
      </c>
    </row>
    <row r="78" ht="20" customHeight="1">
      <c r="A78" s="21">
        <f>IF(B78="","",ROW()-3)</f>
        <v/>
      </c>
      <c r="B78" s="29" t="n"/>
      <c r="C78" s="29" t="n"/>
      <c r="D78" s="29" t="n"/>
      <c r="E78" s="41" t="n"/>
      <c r="F78" s="31" t="n"/>
      <c r="G78" s="13">
        <f>IF(OR(E78="",F78=""),"",E78*F78)</f>
        <v/>
      </c>
      <c r="H78" s="31" t="n"/>
      <c r="I78" s="13">
        <f>IF(OR(E78="",E78=0),"",(G78+IF(H78="",0,H78))/E78)</f>
        <v/>
      </c>
      <c r="J78" s="29" t="n"/>
      <c r="K78" s="29" t="n"/>
      <c r="L78" s="29" t="n"/>
      <c r="M78" s="21">
        <f>IF(B78="","",VALUE(LEFT(B78,4)))</f>
        <v/>
      </c>
      <c r="N78" s="21">
        <f>IF(B78="","",VALUE(MID(B78,6,2)))</f>
        <v/>
      </c>
    </row>
    <row r="79" ht="20" customHeight="1">
      <c r="A79" s="21">
        <f>IF(B79="","",ROW()-3)</f>
        <v/>
      </c>
      <c r="B79" s="29" t="n"/>
      <c r="C79" s="29" t="n"/>
      <c r="D79" s="29" t="n"/>
      <c r="E79" s="41" t="n"/>
      <c r="F79" s="31" t="n"/>
      <c r="G79" s="13">
        <f>IF(OR(E79="",F79=""),"",E79*F79)</f>
        <v/>
      </c>
      <c r="H79" s="31" t="n"/>
      <c r="I79" s="13">
        <f>IF(OR(E79="",E79=0),"",(G79+IF(H79="",0,H79))/E79)</f>
        <v/>
      </c>
      <c r="J79" s="29" t="n"/>
      <c r="K79" s="29" t="n"/>
      <c r="L79" s="29" t="n"/>
      <c r="M79" s="21">
        <f>IF(B79="","",VALUE(LEFT(B79,4)))</f>
        <v/>
      </c>
      <c r="N79" s="21">
        <f>IF(B79="","",VALUE(MID(B79,6,2)))</f>
        <v/>
      </c>
    </row>
    <row r="80" ht="20" customHeight="1">
      <c r="A80" s="21">
        <f>IF(B80="","",ROW()-3)</f>
        <v/>
      </c>
      <c r="B80" s="29" t="n"/>
      <c r="C80" s="29" t="n"/>
      <c r="D80" s="29" t="n"/>
      <c r="E80" s="41" t="n"/>
      <c r="F80" s="31" t="n"/>
      <c r="G80" s="13">
        <f>IF(OR(E80="",F80=""),"",E80*F80)</f>
        <v/>
      </c>
      <c r="H80" s="31" t="n"/>
      <c r="I80" s="13">
        <f>IF(OR(E80="",E80=0),"",(G80+IF(H80="",0,H80))/E80)</f>
        <v/>
      </c>
      <c r="J80" s="29" t="n"/>
      <c r="K80" s="29" t="n"/>
      <c r="L80" s="29" t="n"/>
      <c r="M80" s="21">
        <f>IF(B80="","",VALUE(LEFT(B80,4)))</f>
        <v/>
      </c>
      <c r="N80" s="21">
        <f>IF(B80="","",VALUE(MID(B80,6,2)))</f>
        <v/>
      </c>
    </row>
    <row r="81" ht="20" customHeight="1">
      <c r="A81" s="21">
        <f>IF(B81="","",ROW()-3)</f>
        <v/>
      </c>
      <c r="B81" s="29" t="n"/>
      <c r="C81" s="29" t="n"/>
      <c r="D81" s="29" t="n"/>
      <c r="E81" s="41" t="n"/>
      <c r="F81" s="31" t="n"/>
      <c r="G81" s="13">
        <f>IF(OR(E81="",F81=""),"",E81*F81)</f>
        <v/>
      </c>
      <c r="H81" s="31" t="n"/>
      <c r="I81" s="13">
        <f>IF(OR(E81="",E81=0),"",(G81+IF(H81="",0,H81))/E81)</f>
        <v/>
      </c>
      <c r="J81" s="29" t="n"/>
      <c r="K81" s="29" t="n"/>
      <c r="L81" s="29" t="n"/>
      <c r="M81" s="21">
        <f>IF(B81="","",VALUE(LEFT(B81,4)))</f>
        <v/>
      </c>
      <c r="N81" s="21">
        <f>IF(B81="","",VALUE(MID(B81,6,2)))</f>
        <v/>
      </c>
    </row>
    <row r="82" ht="20" customHeight="1">
      <c r="A82" s="21">
        <f>IF(B82="","",ROW()-3)</f>
        <v/>
      </c>
      <c r="B82" s="29" t="n"/>
      <c r="C82" s="29" t="n"/>
      <c r="D82" s="29" t="n"/>
      <c r="E82" s="41" t="n"/>
      <c r="F82" s="31" t="n"/>
      <c r="G82" s="13">
        <f>IF(OR(E82="",F82=""),"",E82*F82)</f>
        <v/>
      </c>
      <c r="H82" s="31" t="n"/>
      <c r="I82" s="13">
        <f>IF(OR(E82="",E82=0),"",(G82+IF(H82="",0,H82))/E82)</f>
        <v/>
      </c>
      <c r="J82" s="29" t="n"/>
      <c r="K82" s="29" t="n"/>
      <c r="L82" s="29" t="n"/>
      <c r="M82" s="21">
        <f>IF(B82="","",VALUE(LEFT(B82,4)))</f>
        <v/>
      </c>
      <c r="N82" s="21">
        <f>IF(B82="","",VALUE(MID(B82,6,2)))</f>
        <v/>
      </c>
    </row>
    <row r="83" ht="20" customHeight="1">
      <c r="A83" s="21">
        <f>IF(B83="","",ROW()-3)</f>
        <v/>
      </c>
      <c r="B83" s="29" t="n"/>
      <c r="C83" s="29" t="n"/>
      <c r="D83" s="29" t="n"/>
      <c r="E83" s="41" t="n"/>
      <c r="F83" s="31" t="n"/>
      <c r="G83" s="13">
        <f>IF(OR(E83="",F83=""),"",E83*F83)</f>
        <v/>
      </c>
      <c r="H83" s="31" t="n"/>
      <c r="I83" s="13">
        <f>IF(OR(E83="",E83=0),"",(G83+IF(H83="",0,H83))/E83)</f>
        <v/>
      </c>
      <c r="J83" s="29" t="n"/>
      <c r="K83" s="29" t="n"/>
      <c r="L83" s="29" t="n"/>
      <c r="M83" s="21">
        <f>IF(B83="","",VALUE(LEFT(B83,4)))</f>
        <v/>
      </c>
      <c r="N83" s="21">
        <f>IF(B83="","",VALUE(MID(B83,6,2)))</f>
        <v/>
      </c>
    </row>
    <row r="84" ht="20" customHeight="1">
      <c r="A84" s="21">
        <f>IF(B84="","",ROW()-3)</f>
        <v/>
      </c>
      <c r="B84" s="29" t="n"/>
      <c r="C84" s="29" t="n"/>
      <c r="D84" s="29" t="n"/>
      <c r="E84" s="41" t="n"/>
      <c r="F84" s="31" t="n"/>
      <c r="G84" s="13">
        <f>IF(OR(E84="",F84=""),"",E84*F84)</f>
        <v/>
      </c>
      <c r="H84" s="31" t="n"/>
      <c r="I84" s="13">
        <f>IF(OR(E84="",E84=0),"",(G84+IF(H84="",0,H84))/E84)</f>
        <v/>
      </c>
      <c r="J84" s="29" t="n"/>
      <c r="K84" s="29" t="n"/>
      <c r="L84" s="29" t="n"/>
      <c r="M84" s="21">
        <f>IF(B84="","",VALUE(LEFT(B84,4)))</f>
        <v/>
      </c>
      <c r="N84" s="21">
        <f>IF(B84="","",VALUE(MID(B84,6,2)))</f>
        <v/>
      </c>
    </row>
    <row r="85" ht="20" customHeight="1">
      <c r="A85" s="21">
        <f>IF(B85="","",ROW()-3)</f>
        <v/>
      </c>
      <c r="B85" s="29" t="n"/>
      <c r="C85" s="29" t="n"/>
      <c r="D85" s="29" t="n"/>
      <c r="E85" s="41" t="n"/>
      <c r="F85" s="31" t="n"/>
      <c r="G85" s="13">
        <f>IF(OR(E85="",F85=""),"",E85*F85)</f>
        <v/>
      </c>
      <c r="H85" s="31" t="n"/>
      <c r="I85" s="13">
        <f>IF(OR(E85="",E85=0),"",(G85+IF(H85="",0,H85))/E85)</f>
        <v/>
      </c>
      <c r="J85" s="29" t="n"/>
      <c r="K85" s="29" t="n"/>
      <c r="L85" s="29" t="n"/>
      <c r="M85" s="21">
        <f>IF(B85="","",VALUE(LEFT(B85,4)))</f>
        <v/>
      </c>
      <c r="N85" s="21">
        <f>IF(B85="","",VALUE(MID(B85,6,2)))</f>
        <v/>
      </c>
    </row>
    <row r="86" ht="20" customHeight="1">
      <c r="A86" s="21">
        <f>IF(B86="","",ROW()-3)</f>
        <v/>
      </c>
      <c r="B86" s="29" t="n"/>
      <c r="C86" s="29" t="n"/>
      <c r="D86" s="29" t="n"/>
      <c r="E86" s="41" t="n"/>
      <c r="F86" s="31" t="n"/>
      <c r="G86" s="13">
        <f>IF(OR(E86="",F86=""),"",E86*F86)</f>
        <v/>
      </c>
      <c r="H86" s="31" t="n"/>
      <c r="I86" s="13">
        <f>IF(OR(E86="",E86=0),"",(G86+IF(H86="",0,H86))/E86)</f>
        <v/>
      </c>
      <c r="J86" s="29" t="n"/>
      <c r="K86" s="29" t="n"/>
      <c r="L86" s="29" t="n"/>
      <c r="M86" s="21">
        <f>IF(B86="","",VALUE(LEFT(B86,4)))</f>
        <v/>
      </c>
      <c r="N86" s="21">
        <f>IF(B86="","",VALUE(MID(B86,6,2)))</f>
        <v/>
      </c>
    </row>
    <row r="87" ht="20" customHeight="1">
      <c r="A87" s="21">
        <f>IF(B87="","",ROW()-3)</f>
        <v/>
      </c>
      <c r="B87" s="29" t="n"/>
      <c r="C87" s="29" t="n"/>
      <c r="D87" s="29" t="n"/>
      <c r="E87" s="41" t="n"/>
      <c r="F87" s="31" t="n"/>
      <c r="G87" s="13">
        <f>IF(OR(E87="",F87=""),"",E87*F87)</f>
        <v/>
      </c>
      <c r="H87" s="31" t="n"/>
      <c r="I87" s="13">
        <f>IF(OR(E87="",E87=0),"",(G87+IF(H87="",0,H87))/E87)</f>
        <v/>
      </c>
      <c r="J87" s="29" t="n"/>
      <c r="K87" s="29" t="n"/>
      <c r="L87" s="29" t="n"/>
      <c r="M87" s="21">
        <f>IF(B87="","",VALUE(LEFT(B87,4)))</f>
        <v/>
      </c>
      <c r="N87" s="21">
        <f>IF(B87="","",VALUE(MID(B87,6,2)))</f>
        <v/>
      </c>
    </row>
    <row r="88" ht="20" customHeight="1">
      <c r="A88" s="21">
        <f>IF(B88="","",ROW()-3)</f>
        <v/>
      </c>
      <c r="B88" s="29" t="n"/>
      <c r="C88" s="29" t="n"/>
      <c r="D88" s="29" t="n"/>
      <c r="E88" s="41" t="n"/>
      <c r="F88" s="31" t="n"/>
      <c r="G88" s="13">
        <f>IF(OR(E88="",F88=""),"",E88*F88)</f>
        <v/>
      </c>
      <c r="H88" s="31" t="n"/>
      <c r="I88" s="13">
        <f>IF(OR(E88="",E88=0),"",(G88+IF(H88="",0,H88))/E88)</f>
        <v/>
      </c>
      <c r="J88" s="29" t="n"/>
      <c r="K88" s="29" t="n"/>
      <c r="L88" s="29" t="n"/>
      <c r="M88" s="21">
        <f>IF(B88="","",VALUE(LEFT(B88,4)))</f>
        <v/>
      </c>
      <c r="N88" s="21">
        <f>IF(B88="","",VALUE(MID(B88,6,2)))</f>
        <v/>
      </c>
    </row>
    <row r="89" ht="20" customHeight="1">
      <c r="A89" s="21">
        <f>IF(B89="","",ROW()-3)</f>
        <v/>
      </c>
      <c r="B89" s="29" t="n"/>
      <c r="C89" s="29" t="n"/>
      <c r="D89" s="29" t="n"/>
      <c r="E89" s="41" t="n"/>
      <c r="F89" s="31" t="n"/>
      <c r="G89" s="13">
        <f>IF(OR(E89="",F89=""),"",E89*F89)</f>
        <v/>
      </c>
      <c r="H89" s="31" t="n"/>
      <c r="I89" s="13">
        <f>IF(OR(E89="",E89=0),"",(G89+IF(H89="",0,H89))/E89)</f>
        <v/>
      </c>
      <c r="J89" s="29" t="n"/>
      <c r="K89" s="29" t="n"/>
      <c r="L89" s="29" t="n"/>
      <c r="M89" s="21">
        <f>IF(B89="","",VALUE(LEFT(B89,4)))</f>
        <v/>
      </c>
      <c r="N89" s="21">
        <f>IF(B89="","",VALUE(MID(B89,6,2)))</f>
        <v/>
      </c>
    </row>
    <row r="90" ht="20" customHeight="1">
      <c r="A90" s="21">
        <f>IF(B90="","",ROW()-3)</f>
        <v/>
      </c>
      <c r="B90" s="29" t="n"/>
      <c r="C90" s="29" t="n"/>
      <c r="D90" s="29" t="n"/>
      <c r="E90" s="41" t="n"/>
      <c r="F90" s="31" t="n"/>
      <c r="G90" s="13">
        <f>IF(OR(E90="",F90=""),"",E90*F90)</f>
        <v/>
      </c>
      <c r="H90" s="31" t="n"/>
      <c r="I90" s="13">
        <f>IF(OR(E90="",E90=0),"",(G90+IF(H90="",0,H90))/E90)</f>
        <v/>
      </c>
      <c r="J90" s="29" t="n"/>
      <c r="K90" s="29" t="n"/>
      <c r="L90" s="29" t="n"/>
      <c r="M90" s="21">
        <f>IF(B90="","",VALUE(LEFT(B90,4)))</f>
        <v/>
      </c>
      <c r="N90" s="21">
        <f>IF(B90="","",VALUE(MID(B90,6,2)))</f>
        <v/>
      </c>
    </row>
    <row r="91" ht="20" customHeight="1">
      <c r="A91" s="21">
        <f>IF(B91="","",ROW()-3)</f>
        <v/>
      </c>
      <c r="B91" s="29" t="n"/>
      <c r="C91" s="29" t="n"/>
      <c r="D91" s="29" t="n"/>
      <c r="E91" s="41" t="n"/>
      <c r="F91" s="31" t="n"/>
      <c r="G91" s="13">
        <f>IF(OR(E91="",F91=""),"",E91*F91)</f>
        <v/>
      </c>
      <c r="H91" s="31" t="n"/>
      <c r="I91" s="13">
        <f>IF(OR(E91="",E91=0),"",(G91+IF(H91="",0,H91))/E91)</f>
        <v/>
      </c>
      <c r="J91" s="29" t="n"/>
      <c r="K91" s="29" t="n"/>
      <c r="L91" s="29" t="n"/>
      <c r="M91" s="21">
        <f>IF(B91="","",VALUE(LEFT(B91,4)))</f>
        <v/>
      </c>
      <c r="N91" s="21">
        <f>IF(B91="","",VALUE(MID(B91,6,2)))</f>
        <v/>
      </c>
    </row>
    <row r="92" ht="20" customHeight="1">
      <c r="A92" s="21">
        <f>IF(B92="","",ROW()-3)</f>
        <v/>
      </c>
      <c r="B92" s="29" t="n"/>
      <c r="C92" s="29" t="n"/>
      <c r="D92" s="29" t="n"/>
      <c r="E92" s="41" t="n"/>
      <c r="F92" s="31" t="n"/>
      <c r="G92" s="13">
        <f>IF(OR(E92="",F92=""),"",E92*F92)</f>
        <v/>
      </c>
      <c r="H92" s="31" t="n"/>
      <c r="I92" s="13">
        <f>IF(OR(E92="",E92=0),"",(G92+IF(H92="",0,H92))/E92)</f>
        <v/>
      </c>
      <c r="J92" s="29" t="n"/>
      <c r="K92" s="29" t="n"/>
      <c r="L92" s="29" t="n"/>
      <c r="M92" s="21">
        <f>IF(B92="","",VALUE(LEFT(B92,4)))</f>
        <v/>
      </c>
      <c r="N92" s="21">
        <f>IF(B92="","",VALUE(MID(B92,6,2)))</f>
        <v/>
      </c>
    </row>
    <row r="93" ht="20" customHeight="1">
      <c r="A93" s="21">
        <f>IF(B93="","",ROW()-3)</f>
        <v/>
      </c>
      <c r="B93" s="29" t="n"/>
      <c r="C93" s="29" t="n"/>
      <c r="D93" s="29" t="n"/>
      <c r="E93" s="41" t="n"/>
      <c r="F93" s="31" t="n"/>
      <c r="G93" s="13">
        <f>IF(OR(E93="",F93=""),"",E93*F93)</f>
        <v/>
      </c>
      <c r="H93" s="31" t="n"/>
      <c r="I93" s="13">
        <f>IF(OR(E93="",E93=0),"",(G93+IF(H93="",0,H93))/E93)</f>
        <v/>
      </c>
      <c r="J93" s="29" t="n"/>
      <c r="K93" s="29" t="n"/>
      <c r="L93" s="29" t="n"/>
      <c r="M93" s="21">
        <f>IF(B93="","",VALUE(LEFT(B93,4)))</f>
        <v/>
      </c>
      <c r="N93" s="21">
        <f>IF(B93="","",VALUE(MID(B93,6,2)))</f>
        <v/>
      </c>
    </row>
    <row r="94" ht="20" customHeight="1">
      <c r="A94" s="21">
        <f>IF(B94="","",ROW()-3)</f>
        <v/>
      </c>
      <c r="B94" s="29" t="n"/>
      <c r="C94" s="29" t="n"/>
      <c r="D94" s="29" t="n"/>
      <c r="E94" s="41" t="n"/>
      <c r="F94" s="31" t="n"/>
      <c r="G94" s="13">
        <f>IF(OR(E94="",F94=""),"",E94*F94)</f>
        <v/>
      </c>
      <c r="H94" s="31" t="n"/>
      <c r="I94" s="13">
        <f>IF(OR(E94="",E94=0),"",(G94+IF(H94="",0,H94))/E94)</f>
        <v/>
      </c>
      <c r="J94" s="29" t="n"/>
      <c r="K94" s="29" t="n"/>
      <c r="L94" s="29" t="n"/>
      <c r="M94" s="21">
        <f>IF(B94="","",VALUE(LEFT(B94,4)))</f>
        <v/>
      </c>
      <c r="N94" s="21">
        <f>IF(B94="","",VALUE(MID(B94,6,2)))</f>
        <v/>
      </c>
    </row>
    <row r="95" ht="20" customHeight="1">
      <c r="A95" s="21">
        <f>IF(B95="","",ROW()-3)</f>
        <v/>
      </c>
      <c r="B95" s="29" t="n"/>
      <c r="C95" s="29" t="n"/>
      <c r="D95" s="29" t="n"/>
      <c r="E95" s="41" t="n"/>
      <c r="F95" s="31" t="n"/>
      <c r="G95" s="13">
        <f>IF(OR(E95="",F95=""),"",E95*F95)</f>
        <v/>
      </c>
      <c r="H95" s="31" t="n"/>
      <c r="I95" s="13">
        <f>IF(OR(E95="",E95=0),"",(G95+IF(H95="",0,H95))/E95)</f>
        <v/>
      </c>
      <c r="J95" s="29" t="n"/>
      <c r="K95" s="29" t="n"/>
      <c r="L95" s="29" t="n"/>
      <c r="M95" s="21">
        <f>IF(B95="","",VALUE(LEFT(B95,4)))</f>
        <v/>
      </c>
      <c r="N95" s="21">
        <f>IF(B95="","",VALUE(MID(B95,6,2)))</f>
        <v/>
      </c>
    </row>
    <row r="96" ht="20" customHeight="1">
      <c r="A96" s="21">
        <f>IF(B96="","",ROW()-3)</f>
        <v/>
      </c>
      <c r="B96" s="29" t="n"/>
      <c r="C96" s="29" t="n"/>
      <c r="D96" s="29" t="n"/>
      <c r="E96" s="41" t="n"/>
      <c r="F96" s="31" t="n"/>
      <c r="G96" s="13">
        <f>IF(OR(E96="",F96=""),"",E96*F96)</f>
        <v/>
      </c>
      <c r="H96" s="31" t="n"/>
      <c r="I96" s="13">
        <f>IF(OR(E96="",E96=0),"",(G96+IF(H96="",0,H96))/E96)</f>
        <v/>
      </c>
      <c r="J96" s="29" t="n"/>
      <c r="K96" s="29" t="n"/>
      <c r="L96" s="29" t="n"/>
      <c r="M96" s="21">
        <f>IF(B96="","",VALUE(LEFT(B96,4)))</f>
        <v/>
      </c>
      <c r="N96" s="21">
        <f>IF(B96="","",VALUE(MID(B96,6,2)))</f>
        <v/>
      </c>
    </row>
    <row r="97" ht="20" customHeight="1">
      <c r="A97" s="21">
        <f>IF(B97="","",ROW()-3)</f>
        <v/>
      </c>
      <c r="B97" s="29" t="n"/>
      <c r="C97" s="29" t="n"/>
      <c r="D97" s="29" t="n"/>
      <c r="E97" s="41" t="n"/>
      <c r="F97" s="31" t="n"/>
      <c r="G97" s="13">
        <f>IF(OR(E97="",F97=""),"",E97*F97)</f>
        <v/>
      </c>
      <c r="H97" s="31" t="n"/>
      <c r="I97" s="13">
        <f>IF(OR(E97="",E97=0),"",(G97+IF(H97="",0,H97))/E97)</f>
        <v/>
      </c>
      <c r="J97" s="29" t="n"/>
      <c r="K97" s="29" t="n"/>
      <c r="L97" s="29" t="n"/>
      <c r="M97" s="21">
        <f>IF(B97="","",VALUE(LEFT(B97,4)))</f>
        <v/>
      </c>
      <c r="N97" s="21">
        <f>IF(B97="","",VALUE(MID(B97,6,2)))</f>
        <v/>
      </c>
    </row>
    <row r="98" ht="20" customHeight="1">
      <c r="A98" s="21">
        <f>IF(B98="","",ROW()-3)</f>
        <v/>
      </c>
      <c r="B98" s="29" t="n"/>
      <c r="C98" s="29" t="n"/>
      <c r="D98" s="29" t="n"/>
      <c r="E98" s="41" t="n"/>
      <c r="F98" s="31" t="n"/>
      <c r="G98" s="13">
        <f>IF(OR(E98="",F98=""),"",E98*F98)</f>
        <v/>
      </c>
      <c r="H98" s="31" t="n"/>
      <c r="I98" s="13">
        <f>IF(OR(E98="",E98=0),"",(G98+IF(H98="",0,H98))/E98)</f>
        <v/>
      </c>
      <c r="J98" s="29" t="n"/>
      <c r="K98" s="29" t="n"/>
      <c r="L98" s="29" t="n"/>
      <c r="M98" s="21">
        <f>IF(B98="","",VALUE(LEFT(B98,4)))</f>
        <v/>
      </c>
      <c r="N98" s="21">
        <f>IF(B98="","",VALUE(MID(B98,6,2)))</f>
        <v/>
      </c>
    </row>
    <row r="99" ht="20" customHeight="1">
      <c r="A99" s="21">
        <f>IF(B99="","",ROW()-3)</f>
        <v/>
      </c>
      <c r="B99" s="29" t="n"/>
      <c r="C99" s="29" t="n"/>
      <c r="D99" s="29" t="n"/>
      <c r="E99" s="41" t="n"/>
      <c r="F99" s="31" t="n"/>
      <c r="G99" s="13">
        <f>IF(OR(E99="",F99=""),"",E99*F99)</f>
        <v/>
      </c>
      <c r="H99" s="31" t="n"/>
      <c r="I99" s="13">
        <f>IF(OR(E99="",E99=0),"",(G99+IF(H99="",0,H99))/E99)</f>
        <v/>
      </c>
      <c r="J99" s="29" t="n"/>
      <c r="K99" s="29" t="n"/>
      <c r="L99" s="29" t="n"/>
      <c r="M99" s="21">
        <f>IF(B99="","",VALUE(LEFT(B99,4)))</f>
        <v/>
      </c>
      <c r="N99" s="21">
        <f>IF(B99="","",VALUE(MID(B99,6,2)))</f>
        <v/>
      </c>
    </row>
    <row r="100" ht="20" customHeight="1">
      <c r="A100" s="21">
        <f>IF(B100="","",ROW()-3)</f>
        <v/>
      </c>
      <c r="B100" s="29" t="n"/>
      <c r="C100" s="29" t="n"/>
      <c r="D100" s="29" t="n"/>
      <c r="E100" s="41" t="n"/>
      <c r="F100" s="31" t="n"/>
      <c r="G100" s="13">
        <f>IF(OR(E100="",F100=""),"",E100*F100)</f>
        <v/>
      </c>
      <c r="H100" s="31" t="n"/>
      <c r="I100" s="13">
        <f>IF(OR(E100="",E100=0),"",(G100+IF(H100="",0,H100))/E100)</f>
        <v/>
      </c>
      <c r="J100" s="29" t="n"/>
      <c r="K100" s="29" t="n"/>
      <c r="L100" s="29" t="n"/>
      <c r="M100" s="21">
        <f>IF(B100="","",VALUE(LEFT(B100,4)))</f>
        <v/>
      </c>
      <c r="N100" s="21">
        <f>IF(B100="","",VALUE(MID(B100,6,2)))</f>
        <v/>
      </c>
    </row>
    <row r="101" ht="20" customHeight="1">
      <c r="A101" s="21">
        <f>IF(B101="","",ROW()-3)</f>
        <v/>
      </c>
      <c r="B101" s="29" t="n"/>
      <c r="C101" s="29" t="n"/>
      <c r="D101" s="29" t="n"/>
      <c r="E101" s="41" t="n"/>
      <c r="F101" s="31" t="n"/>
      <c r="G101" s="13">
        <f>IF(OR(E101="",F101=""),"",E101*F101)</f>
        <v/>
      </c>
      <c r="H101" s="31" t="n"/>
      <c r="I101" s="13">
        <f>IF(OR(E101="",E101=0),"",(G101+IF(H101="",0,H101))/E101)</f>
        <v/>
      </c>
      <c r="J101" s="29" t="n"/>
      <c r="K101" s="29" t="n"/>
      <c r="L101" s="29" t="n"/>
      <c r="M101" s="21">
        <f>IF(B101="","",VALUE(LEFT(B101,4)))</f>
        <v/>
      </c>
      <c r="N101" s="21">
        <f>IF(B101="","",VALUE(MID(B101,6,2)))</f>
        <v/>
      </c>
    </row>
    <row r="102" ht="20" customHeight="1">
      <c r="A102" s="21">
        <f>IF(B102="","",ROW()-3)</f>
        <v/>
      </c>
      <c r="B102" s="29" t="n"/>
      <c r="C102" s="29" t="n"/>
      <c r="D102" s="29" t="n"/>
      <c r="E102" s="41" t="n"/>
      <c r="F102" s="31" t="n"/>
      <c r="G102" s="13">
        <f>IF(OR(E102="",F102=""),"",E102*F102)</f>
        <v/>
      </c>
      <c r="H102" s="31" t="n"/>
      <c r="I102" s="13">
        <f>IF(OR(E102="",E102=0),"",(G102+IF(H102="",0,H102))/E102)</f>
        <v/>
      </c>
      <c r="J102" s="29" t="n"/>
      <c r="K102" s="29" t="n"/>
      <c r="L102" s="29" t="n"/>
      <c r="M102" s="21">
        <f>IF(B102="","",VALUE(LEFT(B102,4)))</f>
        <v/>
      </c>
      <c r="N102" s="21">
        <f>IF(B102="","",VALUE(MID(B102,6,2)))</f>
        <v/>
      </c>
    </row>
    <row r="103" ht="20" customHeight="1">
      <c r="A103" s="21">
        <f>IF(B103="","",ROW()-3)</f>
        <v/>
      </c>
      <c r="B103" s="29" t="n"/>
      <c r="C103" s="29" t="n"/>
      <c r="D103" s="29" t="n"/>
      <c r="E103" s="41" t="n"/>
      <c r="F103" s="31" t="n"/>
      <c r="G103" s="13">
        <f>IF(OR(E103="",F103=""),"",E103*F103)</f>
        <v/>
      </c>
      <c r="H103" s="31" t="n"/>
      <c r="I103" s="13">
        <f>IF(OR(E103="",E103=0),"",(G103+IF(H103="",0,H103))/E103)</f>
        <v/>
      </c>
      <c r="J103" s="29" t="n"/>
      <c r="K103" s="29" t="n"/>
      <c r="L103" s="29" t="n"/>
      <c r="M103" s="21">
        <f>IF(B103="","",VALUE(LEFT(B103,4)))</f>
        <v/>
      </c>
      <c r="N103" s="21">
        <f>IF(B103="","",VALUE(MID(B103,6,2)))</f>
        <v/>
      </c>
    </row>
    <row r="104" ht="20" customHeight="1">
      <c r="A104" s="21">
        <f>IF(B104="","",ROW()-3)</f>
        <v/>
      </c>
      <c r="B104" s="29" t="n"/>
      <c r="C104" s="29" t="n"/>
      <c r="D104" s="29" t="n"/>
      <c r="E104" s="41" t="n"/>
      <c r="F104" s="31" t="n"/>
      <c r="G104" s="13">
        <f>IF(OR(E104="",F104=""),"",E104*F104)</f>
        <v/>
      </c>
      <c r="H104" s="31" t="n"/>
      <c r="I104" s="13">
        <f>IF(OR(E104="",E104=0),"",(G104+IF(H104="",0,H104))/E104)</f>
        <v/>
      </c>
      <c r="J104" s="29" t="n"/>
      <c r="K104" s="29" t="n"/>
      <c r="L104" s="29" t="n"/>
      <c r="M104" s="21">
        <f>IF(B104="","",VALUE(LEFT(B104,4)))</f>
        <v/>
      </c>
      <c r="N104" s="21">
        <f>IF(B104="","",VALUE(MID(B104,6,2)))</f>
        <v/>
      </c>
    </row>
    <row r="105" ht="20" customHeight="1">
      <c r="A105" s="21">
        <f>IF(B105="","",ROW()-3)</f>
        <v/>
      </c>
      <c r="B105" s="29" t="n"/>
      <c r="C105" s="29" t="n"/>
      <c r="D105" s="29" t="n"/>
      <c r="E105" s="41" t="n"/>
      <c r="F105" s="31" t="n"/>
      <c r="G105" s="13">
        <f>IF(OR(E105="",F105=""),"",E105*F105)</f>
        <v/>
      </c>
      <c r="H105" s="31" t="n"/>
      <c r="I105" s="13">
        <f>IF(OR(E105="",E105=0),"",(G105+IF(H105="",0,H105))/E105)</f>
        <v/>
      </c>
      <c r="J105" s="29" t="n"/>
      <c r="K105" s="29" t="n"/>
      <c r="L105" s="29" t="n"/>
      <c r="M105" s="21">
        <f>IF(B105="","",VALUE(LEFT(B105,4)))</f>
        <v/>
      </c>
      <c r="N105" s="21">
        <f>IF(B105="","",VALUE(MID(B105,6,2)))</f>
        <v/>
      </c>
    </row>
    <row r="106" ht="20" customHeight="1">
      <c r="A106" s="21">
        <f>IF(B106="","",ROW()-3)</f>
        <v/>
      </c>
      <c r="B106" s="29" t="n"/>
      <c r="C106" s="29" t="n"/>
      <c r="D106" s="29" t="n"/>
      <c r="E106" s="41" t="n"/>
      <c r="F106" s="31" t="n"/>
      <c r="G106" s="13">
        <f>IF(OR(E106="",F106=""),"",E106*F106)</f>
        <v/>
      </c>
      <c r="H106" s="31" t="n"/>
      <c r="I106" s="13">
        <f>IF(OR(E106="",E106=0),"",(G106+IF(H106="",0,H106))/E106)</f>
        <v/>
      </c>
      <c r="J106" s="29" t="n"/>
      <c r="K106" s="29" t="n"/>
      <c r="L106" s="29" t="n"/>
      <c r="M106" s="21">
        <f>IF(B106="","",VALUE(LEFT(B106,4)))</f>
        <v/>
      </c>
      <c r="N106" s="21">
        <f>IF(B106="","",VALUE(MID(B106,6,2)))</f>
        <v/>
      </c>
    </row>
    <row r="107" ht="20" customHeight="1">
      <c r="A107" s="21">
        <f>IF(B107="","",ROW()-3)</f>
        <v/>
      </c>
      <c r="B107" s="29" t="n"/>
      <c r="C107" s="29" t="n"/>
      <c r="D107" s="29" t="n"/>
      <c r="E107" s="41" t="n"/>
      <c r="F107" s="31" t="n"/>
      <c r="G107" s="13">
        <f>IF(OR(E107="",F107=""),"",E107*F107)</f>
        <v/>
      </c>
      <c r="H107" s="31" t="n"/>
      <c r="I107" s="13">
        <f>IF(OR(E107="",E107=0),"",(G107+IF(H107="",0,H107))/E107)</f>
        <v/>
      </c>
      <c r="J107" s="29" t="n"/>
      <c r="K107" s="29" t="n"/>
      <c r="L107" s="29" t="n"/>
      <c r="M107" s="21">
        <f>IF(B107="","",VALUE(LEFT(B107,4)))</f>
        <v/>
      </c>
      <c r="N107" s="21">
        <f>IF(B107="","",VALUE(MID(B107,6,2)))</f>
        <v/>
      </c>
    </row>
    <row r="108" ht="20" customHeight="1">
      <c r="A108" s="21">
        <f>IF(B108="","",ROW()-3)</f>
        <v/>
      </c>
      <c r="B108" s="29" t="n"/>
      <c r="C108" s="29" t="n"/>
      <c r="D108" s="29" t="n"/>
      <c r="E108" s="41" t="n"/>
      <c r="F108" s="31" t="n"/>
      <c r="G108" s="13">
        <f>IF(OR(E108="",F108=""),"",E108*F108)</f>
        <v/>
      </c>
      <c r="H108" s="31" t="n"/>
      <c r="I108" s="13">
        <f>IF(OR(E108="",E108=0),"",(G108+IF(H108="",0,H108))/E108)</f>
        <v/>
      </c>
      <c r="J108" s="29" t="n"/>
      <c r="K108" s="29" t="n"/>
      <c r="L108" s="29" t="n"/>
      <c r="M108" s="21">
        <f>IF(B108="","",VALUE(LEFT(B108,4)))</f>
        <v/>
      </c>
      <c r="N108" s="21">
        <f>IF(B108="","",VALUE(MID(B108,6,2)))</f>
        <v/>
      </c>
    </row>
    <row r="109" ht="20" customHeight="1">
      <c r="A109" s="21">
        <f>IF(B109="","",ROW()-3)</f>
        <v/>
      </c>
      <c r="B109" s="29" t="n"/>
      <c r="C109" s="29" t="n"/>
      <c r="D109" s="29" t="n"/>
      <c r="E109" s="41" t="n"/>
      <c r="F109" s="31" t="n"/>
      <c r="G109" s="13">
        <f>IF(OR(E109="",F109=""),"",E109*F109)</f>
        <v/>
      </c>
      <c r="H109" s="31" t="n"/>
      <c r="I109" s="13">
        <f>IF(OR(E109="",E109=0),"",(G109+IF(H109="",0,H109))/E109)</f>
        <v/>
      </c>
      <c r="J109" s="29" t="n"/>
      <c r="K109" s="29" t="n"/>
      <c r="L109" s="29" t="n"/>
      <c r="M109" s="21">
        <f>IF(B109="","",VALUE(LEFT(B109,4)))</f>
        <v/>
      </c>
      <c r="N109" s="21">
        <f>IF(B109="","",VALUE(MID(B109,6,2)))</f>
        <v/>
      </c>
    </row>
    <row r="110" ht="20" customHeight="1">
      <c r="A110" s="21">
        <f>IF(B110="","",ROW()-3)</f>
        <v/>
      </c>
      <c r="B110" s="29" t="n"/>
      <c r="C110" s="29" t="n"/>
      <c r="D110" s="29" t="n"/>
      <c r="E110" s="41" t="n"/>
      <c r="F110" s="31" t="n"/>
      <c r="G110" s="13">
        <f>IF(OR(E110="",F110=""),"",E110*F110)</f>
        <v/>
      </c>
      <c r="H110" s="31" t="n"/>
      <c r="I110" s="13">
        <f>IF(OR(E110="",E110=0),"",(G110+IF(H110="",0,H110))/E110)</f>
        <v/>
      </c>
      <c r="J110" s="29" t="n"/>
      <c r="K110" s="29" t="n"/>
      <c r="L110" s="29" t="n"/>
      <c r="M110" s="21">
        <f>IF(B110="","",VALUE(LEFT(B110,4)))</f>
        <v/>
      </c>
      <c r="N110" s="21">
        <f>IF(B110="","",VALUE(MID(B110,6,2)))</f>
        <v/>
      </c>
    </row>
    <row r="111" ht="20" customHeight="1">
      <c r="A111" s="21">
        <f>IF(B111="","",ROW()-3)</f>
        <v/>
      </c>
      <c r="B111" s="29" t="n"/>
      <c r="C111" s="29" t="n"/>
      <c r="D111" s="29" t="n"/>
      <c r="E111" s="41" t="n"/>
      <c r="F111" s="31" t="n"/>
      <c r="G111" s="13">
        <f>IF(OR(E111="",F111=""),"",E111*F111)</f>
        <v/>
      </c>
      <c r="H111" s="31" t="n"/>
      <c r="I111" s="13">
        <f>IF(OR(E111="",E111=0),"",(G111+IF(H111="",0,H111))/E111)</f>
        <v/>
      </c>
      <c r="J111" s="29" t="n"/>
      <c r="K111" s="29" t="n"/>
      <c r="L111" s="29" t="n"/>
      <c r="M111" s="21">
        <f>IF(B111="","",VALUE(LEFT(B111,4)))</f>
        <v/>
      </c>
      <c r="N111" s="21">
        <f>IF(B111="","",VALUE(MID(B111,6,2)))</f>
        <v/>
      </c>
    </row>
    <row r="112" ht="20" customHeight="1">
      <c r="A112" s="21">
        <f>IF(B112="","",ROW()-3)</f>
        <v/>
      </c>
      <c r="B112" s="29" t="n"/>
      <c r="C112" s="29" t="n"/>
      <c r="D112" s="29" t="n"/>
      <c r="E112" s="41" t="n"/>
      <c r="F112" s="31" t="n"/>
      <c r="G112" s="13">
        <f>IF(OR(E112="",F112=""),"",E112*F112)</f>
        <v/>
      </c>
      <c r="H112" s="31" t="n"/>
      <c r="I112" s="13">
        <f>IF(OR(E112="",E112=0),"",(G112+IF(H112="",0,H112))/E112)</f>
        <v/>
      </c>
      <c r="J112" s="29" t="n"/>
      <c r="K112" s="29" t="n"/>
      <c r="L112" s="29" t="n"/>
      <c r="M112" s="21">
        <f>IF(B112="","",VALUE(LEFT(B112,4)))</f>
        <v/>
      </c>
      <c r="N112" s="21">
        <f>IF(B112="","",VALUE(MID(B112,6,2)))</f>
        <v/>
      </c>
    </row>
    <row r="113" ht="20" customHeight="1">
      <c r="A113" s="21">
        <f>IF(B113="","",ROW()-3)</f>
        <v/>
      </c>
      <c r="B113" s="29" t="n"/>
      <c r="C113" s="29" t="n"/>
      <c r="D113" s="29" t="n"/>
      <c r="E113" s="41" t="n"/>
      <c r="F113" s="31" t="n"/>
      <c r="G113" s="13">
        <f>IF(OR(E113="",F113=""),"",E113*F113)</f>
        <v/>
      </c>
      <c r="H113" s="31" t="n"/>
      <c r="I113" s="13">
        <f>IF(OR(E113="",E113=0),"",(G113+IF(H113="",0,H113))/E113)</f>
        <v/>
      </c>
      <c r="J113" s="29" t="n"/>
      <c r="K113" s="29" t="n"/>
      <c r="L113" s="29" t="n"/>
      <c r="M113" s="21">
        <f>IF(B113="","",VALUE(LEFT(B113,4)))</f>
        <v/>
      </c>
      <c r="N113" s="21">
        <f>IF(B113="","",VALUE(MID(B113,6,2)))</f>
        <v/>
      </c>
    </row>
    <row r="114" ht="20" customHeight="1">
      <c r="A114" s="21">
        <f>IF(B114="","",ROW()-3)</f>
        <v/>
      </c>
      <c r="B114" s="29" t="n"/>
      <c r="C114" s="29" t="n"/>
      <c r="D114" s="29" t="n"/>
      <c r="E114" s="41" t="n"/>
      <c r="F114" s="31" t="n"/>
      <c r="G114" s="13">
        <f>IF(OR(E114="",F114=""),"",E114*F114)</f>
        <v/>
      </c>
      <c r="H114" s="31" t="n"/>
      <c r="I114" s="13">
        <f>IF(OR(E114="",E114=0),"",(G114+IF(H114="",0,H114))/E114)</f>
        <v/>
      </c>
      <c r="J114" s="29" t="n"/>
      <c r="K114" s="29" t="n"/>
      <c r="L114" s="29" t="n"/>
      <c r="M114" s="21">
        <f>IF(B114="","",VALUE(LEFT(B114,4)))</f>
        <v/>
      </c>
      <c r="N114" s="21">
        <f>IF(B114="","",VALUE(MID(B114,6,2)))</f>
        <v/>
      </c>
    </row>
    <row r="115" ht="20" customHeight="1">
      <c r="A115" s="21">
        <f>IF(B115="","",ROW()-3)</f>
        <v/>
      </c>
      <c r="B115" s="29" t="n"/>
      <c r="C115" s="29" t="n"/>
      <c r="D115" s="29" t="n"/>
      <c r="E115" s="41" t="n"/>
      <c r="F115" s="31" t="n"/>
      <c r="G115" s="13">
        <f>IF(OR(E115="",F115=""),"",E115*F115)</f>
        <v/>
      </c>
      <c r="H115" s="31" t="n"/>
      <c r="I115" s="13">
        <f>IF(OR(E115="",E115=0),"",(G115+IF(H115="",0,H115))/E115)</f>
        <v/>
      </c>
      <c r="J115" s="29" t="n"/>
      <c r="K115" s="29" t="n"/>
      <c r="L115" s="29" t="n"/>
      <c r="M115" s="21">
        <f>IF(B115="","",VALUE(LEFT(B115,4)))</f>
        <v/>
      </c>
      <c r="N115" s="21">
        <f>IF(B115="","",VALUE(MID(B115,6,2)))</f>
        <v/>
      </c>
    </row>
    <row r="116" ht="20" customHeight="1">
      <c r="A116" s="21">
        <f>IF(B116="","",ROW()-3)</f>
        <v/>
      </c>
      <c r="B116" s="29" t="n"/>
      <c r="C116" s="29" t="n"/>
      <c r="D116" s="29" t="n"/>
      <c r="E116" s="41" t="n"/>
      <c r="F116" s="31" t="n"/>
      <c r="G116" s="13">
        <f>IF(OR(E116="",F116=""),"",E116*F116)</f>
        <v/>
      </c>
      <c r="H116" s="31" t="n"/>
      <c r="I116" s="13">
        <f>IF(OR(E116="",E116=0),"",(G116+IF(H116="",0,H116))/E116)</f>
        <v/>
      </c>
      <c r="J116" s="29" t="n"/>
      <c r="K116" s="29" t="n"/>
      <c r="L116" s="29" t="n"/>
      <c r="M116" s="21">
        <f>IF(B116="","",VALUE(LEFT(B116,4)))</f>
        <v/>
      </c>
      <c r="N116" s="21">
        <f>IF(B116="","",VALUE(MID(B116,6,2)))</f>
        <v/>
      </c>
    </row>
    <row r="117" ht="20" customHeight="1">
      <c r="A117" s="21">
        <f>IF(B117="","",ROW()-3)</f>
        <v/>
      </c>
      <c r="B117" s="29" t="n"/>
      <c r="C117" s="29" t="n"/>
      <c r="D117" s="29" t="n"/>
      <c r="E117" s="41" t="n"/>
      <c r="F117" s="31" t="n"/>
      <c r="G117" s="13">
        <f>IF(OR(E117="",F117=""),"",E117*F117)</f>
        <v/>
      </c>
      <c r="H117" s="31" t="n"/>
      <c r="I117" s="13">
        <f>IF(OR(E117="",E117=0),"",(G117+IF(H117="",0,H117))/E117)</f>
        <v/>
      </c>
      <c r="J117" s="29" t="n"/>
      <c r="K117" s="29" t="n"/>
      <c r="L117" s="29" t="n"/>
      <c r="M117" s="21">
        <f>IF(B117="","",VALUE(LEFT(B117,4)))</f>
        <v/>
      </c>
      <c r="N117" s="21">
        <f>IF(B117="","",VALUE(MID(B117,6,2)))</f>
        <v/>
      </c>
    </row>
    <row r="118" ht="20" customHeight="1">
      <c r="A118" s="21">
        <f>IF(B118="","",ROW()-3)</f>
        <v/>
      </c>
      <c r="B118" s="29" t="n"/>
      <c r="C118" s="29" t="n"/>
      <c r="D118" s="29" t="n"/>
      <c r="E118" s="41" t="n"/>
      <c r="F118" s="31" t="n"/>
      <c r="G118" s="13">
        <f>IF(OR(E118="",F118=""),"",E118*F118)</f>
        <v/>
      </c>
      <c r="H118" s="31" t="n"/>
      <c r="I118" s="13">
        <f>IF(OR(E118="",E118=0),"",(G118+IF(H118="",0,H118))/E118)</f>
        <v/>
      </c>
      <c r="J118" s="29" t="n"/>
      <c r="K118" s="29" t="n"/>
      <c r="L118" s="29" t="n"/>
      <c r="M118" s="21">
        <f>IF(B118="","",VALUE(LEFT(B118,4)))</f>
        <v/>
      </c>
      <c r="N118" s="21">
        <f>IF(B118="","",VALUE(MID(B118,6,2)))</f>
        <v/>
      </c>
    </row>
    <row r="119" ht="20" customHeight="1">
      <c r="A119" s="21">
        <f>IF(B119="","",ROW()-3)</f>
        <v/>
      </c>
      <c r="B119" s="29" t="n"/>
      <c r="C119" s="29" t="n"/>
      <c r="D119" s="29" t="n"/>
      <c r="E119" s="41" t="n"/>
      <c r="F119" s="31" t="n"/>
      <c r="G119" s="13">
        <f>IF(OR(E119="",F119=""),"",E119*F119)</f>
        <v/>
      </c>
      <c r="H119" s="31" t="n"/>
      <c r="I119" s="13">
        <f>IF(OR(E119="",E119=0),"",(G119+IF(H119="",0,H119))/E119)</f>
        <v/>
      </c>
      <c r="J119" s="29" t="n"/>
      <c r="K119" s="29" t="n"/>
      <c r="L119" s="29" t="n"/>
      <c r="M119" s="21">
        <f>IF(B119="","",VALUE(LEFT(B119,4)))</f>
        <v/>
      </c>
      <c r="N119" s="21">
        <f>IF(B119="","",VALUE(MID(B119,6,2)))</f>
        <v/>
      </c>
    </row>
    <row r="120" ht="20" customHeight="1">
      <c r="A120" s="21">
        <f>IF(B120="","",ROW()-3)</f>
        <v/>
      </c>
      <c r="B120" s="29" t="n"/>
      <c r="C120" s="29" t="n"/>
      <c r="D120" s="29" t="n"/>
      <c r="E120" s="41" t="n"/>
      <c r="F120" s="31" t="n"/>
      <c r="G120" s="13">
        <f>IF(OR(E120="",F120=""),"",E120*F120)</f>
        <v/>
      </c>
      <c r="H120" s="31" t="n"/>
      <c r="I120" s="13">
        <f>IF(OR(E120="",E120=0),"",(G120+IF(H120="",0,H120))/E120)</f>
        <v/>
      </c>
      <c r="J120" s="29" t="n"/>
      <c r="K120" s="29" t="n"/>
      <c r="L120" s="29" t="n"/>
      <c r="M120" s="21">
        <f>IF(B120="","",VALUE(LEFT(B120,4)))</f>
        <v/>
      </c>
      <c r="N120" s="21">
        <f>IF(B120="","",VALUE(MID(B120,6,2)))</f>
        <v/>
      </c>
    </row>
    <row r="121" ht="20" customHeight="1">
      <c r="A121" s="21">
        <f>IF(B121="","",ROW()-3)</f>
        <v/>
      </c>
      <c r="B121" s="29" t="n"/>
      <c r="C121" s="29" t="n"/>
      <c r="D121" s="29" t="n"/>
      <c r="E121" s="41" t="n"/>
      <c r="F121" s="31" t="n"/>
      <c r="G121" s="13">
        <f>IF(OR(E121="",F121=""),"",E121*F121)</f>
        <v/>
      </c>
      <c r="H121" s="31" t="n"/>
      <c r="I121" s="13">
        <f>IF(OR(E121="",E121=0),"",(G121+IF(H121="",0,H121))/E121)</f>
        <v/>
      </c>
      <c r="J121" s="29" t="n"/>
      <c r="K121" s="29" t="n"/>
      <c r="L121" s="29" t="n"/>
      <c r="M121" s="21">
        <f>IF(B121="","",VALUE(LEFT(B121,4)))</f>
        <v/>
      </c>
      <c r="N121" s="21">
        <f>IF(B121="","",VALUE(MID(B121,6,2)))</f>
        <v/>
      </c>
    </row>
    <row r="122" ht="20" customHeight="1">
      <c r="A122" s="21">
        <f>IF(B122="","",ROW()-3)</f>
        <v/>
      </c>
      <c r="B122" s="29" t="n"/>
      <c r="C122" s="29" t="n"/>
      <c r="D122" s="29" t="n"/>
      <c r="E122" s="41" t="n"/>
      <c r="F122" s="31" t="n"/>
      <c r="G122" s="13">
        <f>IF(OR(E122="",F122=""),"",E122*F122)</f>
        <v/>
      </c>
      <c r="H122" s="31" t="n"/>
      <c r="I122" s="13">
        <f>IF(OR(E122="",E122=0),"",(G122+IF(H122="",0,H122))/E122)</f>
        <v/>
      </c>
      <c r="J122" s="29" t="n"/>
      <c r="K122" s="29" t="n"/>
      <c r="L122" s="29" t="n"/>
      <c r="M122" s="21">
        <f>IF(B122="","",VALUE(LEFT(B122,4)))</f>
        <v/>
      </c>
      <c r="N122" s="21">
        <f>IF(B122="","",VALUE(MID(B122,6,2)))</f>
        <v/>
      </c>
    </row>
    <row r="123" ht="20" customHeight="1">
      <c r="A123" s="21">
        <f>IF(B123="","",ROW()-3)</f>
        <v/>
      </c>
      <c r="B123" s="29" t="n"/>
      <c r="C123" s="29" t="n"/>
      <c r="D123" s="29" t="n"/>
      <c r="E123" s="41" t="n"/>
      <c r="F123" s="31" t="n"/>
      <c r="G123" s="13">
        <f>IF(OR(E123="",F123=""),"",E123*F123)</f>
        <v/>
      </c>
      <c r="H123" s="31" t="n"/>
      <c r="I123" s="13">
        <f>IF(OR(E123="",E123=0),"",(G123+IF(H123="",0,H123))/E123)</f>
        <v/>
      </c>
      <c r="J123" s="29" t="n"/>
      <c r="K123" s="29" t="n"/>
      <c r="L123" s="29" t="n"/>
      <c r="M123" s="21">
        <f>IF(B123="","",VALUE(LEFT(B123,4)))</f>
        <v/>
      </c>
      <c r="N123" s="21">
        <f>IF(B123="","",VALUE(MID(B123,6,2)))</f>
        <v/>
      </c>
    </row>
    <row r="124" ht="20" customHeight="1">
      <c r="A124" s="21">
        <f>IF(B124="","",ROW()-3)</f>
        <v/>
      </c>
      <c r="B124" s="29" t="n"/>
      <c r="C124" s="29" t="n"/>
      <c r="D124" s="29" t="n"/>
      <c r="E124" s="41" t="n"/>
      <c r="F124" s="31" t="n"/>
      <c r="G124" s="13">
        <f>IF(OR(E124="",F124=""),"",E124*F124)</f>
        <v/>
      </c>
      <c r="H124" s="31" t="n"/>
      <c r="I124" s="13">
        <f>IF(OR(E124="",E124=0),"",(G124+IF(H124="",0,H124))/E124)</f>
        <v/>
      </c>
      <c r="J124" s="29" t="n"/>
      <c r="K124" s="29" t="n"/>
      <c r="L124" s="29" t="n"/>
      <c r="M124" s="21">
        <f>IF(B124="","",VALUE(LEFT(B124,4)))</f>
        <v/>
      </c>
      <c r="N124" s="21">
        <f>IF(B124="","",VALUE(MID(B124,6,2)))</f>
        <v/>
      </c>
    </row>
    <row r="125" ht="20" customHeight="1">
      <c r="A125" s="21">
        <f>IF(B125="","",ROW()-3)</f>
        <v/>
      </c>
      <c r="B125" s="29" t="n"/>
      <c r="C125" s="29" t="n"/>
      <c r="D125" s="29" t="n"/>
      <c r="E125" s="41" t="n"/>
      <c r="F125" s="31" t="n"/>
      <c r="G125" s="13">
        <f>IF(OR(E125="",F125=""),"",E125*F125)</f>
        <v/>
      </c>
      <c r="H125" s="31" t="n"/>
      <c r="I125" s="13">
        <f>IF(OR(E125="",E125=0),"",(G125+IF(H125="",0,H125))/E125)</f>
        <v/>
      </c>
      <c r="J125" s="29" t="n"/>
      <c r="K125" s="29" t="n"/>
      <c r="L125" s="29" t="n"/>
      <c r="M125" s="21">
        <f>IF(B125="","",VALUE(LEFT(B125,4)))</f>
        <v/>
      </c>
      <c r="N125" s="21">
        <f>IF(B125="","",VALUE(MID(B125,6,2)))</f>
        <v/>
      </c>
    </row>
    <row r="126" ht="20" customHeight="1">
      <c r="A126" s="21">
        <f>IF(B126="","",ROW()-3)</f>
        <v/>
      </c>
      <c r="B126" s="29" t="n"/>
      <c r="C126" s="29" t="n"/>
      <c r="D126" s="29" t="n"/>
      <c r="E126" s="41" t="n"/>
      <c r="F126" s="31" t="n"/>
      <c r="G126" s="13">
        <f>IF(OR(E126="",F126=""),"",E126*F126)</f>
        <v/>
      </c>
      <c r="H126" s="31" t="n"/>
      <c r="I126" s="13">
        <f>IF(OR(E126="",E126=0),"",(G126+IF(H126="",0,H126))/E126)</f>
        <v/>
      </c>
      <c r="J126" s="29" t="n"/>
      <c r="K126" s="29" t="n"/>
      <c r="L126" s="29" t="n"/>
      <c r="M126" s="21">
        <f>IF(B126="","",VALUE(LEFT(B126,4)))</f>
        <v/>
      </c>
      <c r="N126" s="21">
        <f>IF(B126="","",VALUE(MID(B126,6,2)))</f>
        <v/>
      </c>
    </row>
    <row r="127" ht="20" customHeight="1">
      <c r="A127" s="21">
        <f>IF(B127="","",ROW()-3)</f>
        <v/>
      </c>
      <c r="B127" s="29" t="n"/>
      <c r="C127" s="29" t="n"/>
      <c r="D127" s="29" t="n"/>
      <c r="E127" s="41" t="n"/>
      <c r="F127" s="31" t="n"/>
      <c r="G127" s="13">
        <f>IF(OR(E127="",F127=""),"",E127*F127)</f>
        <v/>
      </c>
      <c r="H127" s="31" t="n"/>
      <c r="I127" s="13">
        <f>IF(OR(E127="",E127=0),"",(G127+IF(H127="",0,H127))/E127)</f>
        <v/>
      </c>
      <c r="J127" s="29" t="n"/>
      <c r="K127" s="29" t="n"/>
      <c r="L127" s="29" t="n"/>
      <c r="M127" s="21">
        <f>IF(B127="","",VALUE(LEFT(B127,4)))</f>
        <v/>
      </c>
      <c r="N127" s="21">
        <f>IF(B127="","",VALUE(MID(B127,6,2)))</f>
        <v/>
      </c>
    </row>
    <row r="128" ht="20" customHeight="1">
      <c r="A128" s="21">
        <f>IF(B128="","",ROW()-3)</f>
        <v/>
      </c>
      <c r="B128" s="29" t="n"/>
      <c r="C128" s="29" t="n"/>
      <c r="D128" s="29" t="n"/>
      <c r="E128" s="41" t="n"/>
      <c r="F128" s="31" t="n"/>
      <c r="G128" s="13">
        <f>IF(OR(E128="",F128=""),"",E128*F128)</f>
        <v/>
      </c>
      <c r="H128" s="31" t="n"/>
      <c r="I128" s="13">
        <f>IF(OR(E128="",E128=0),"",(G128+IF(H128="",0,H128))/E128)</f>
        <v/>
      </c>
      <c r="J128" s="29" t="n"/>
      <c r="K128" s="29" t="n"/>
      <c r="L128" s="29" t="n"/>
      <c r="M128" s="21">
        <f>IF(B128="","",VALUE(LEFT(B128,4)))</f>
        <v/>
      </c>
      <c r="N128" s="21">
        <f>IF(B128="","",VALUE(MID(B128,6,2)))</f>
        <v/>
      </c>
    </row>
    <row r="129" ht="20" customHeight="1">
      <c r="A129" s="21">
        <f>IF(B129="","",ROW()-3)</f>
        <v/>
      </c>
      <c r="B129" s="29" t="n"/>
      <c r="C129" s="29" t="n"/>
      <c r="D129" s="29" t="n"/>
      <c r="E129" s="41" t="n"/>
      <c r="F129" s="31" t="n"/>
      <c r="G129" s="13">
        <f>IF(OR(E129="",F129=""),"",E129*F129)</f>
        <v/>
      </c>
      <c r="H129" s="31" t="n"/>
      <c r="I129" s="13">
        <f>IF(OR(E129="",E129=0),"",(G129+IF(H129="",0,H129))/E129)</f>
        <v/>
      </c>
      <c r="J129" s="29" t="n"/>
      <c r="K129" s="29" t="n"/>
      <c r="L129" s="29" t="n"/>
      <c r="M129" s="21">
        <f>IF(B129="","",VALUE(LEFT(B129,4)))</f>
        <v/>
      </c>
      <c r="N129" s="21">
        <f>IF(B129="","",VALUE(MID(B129,6,2)))</f>
        <v/>
      </c>
    </row>
    <row r="130" ht="20" customHeight="1">
      <c r="A130" s="21">
        <f>IF(B130="","",ROW()-3)</f>
        <v/>
      </c>
      <c r="B130" s="29" t="n"/>
      <c r="C130" s="29" t="n"/>
      <c r="D130" s="29" t="n"/>
      <c r="E130" s="41" t="n"/>
      <c r="F130" s="31" t="n"/>
      <c r="G130" s="13">
        <f>IF(OR(E130="",F130=""),"",E130*F130)</f>
        <v/>
      </c>
      <c r="H130" s="31" t="n"/>
      <c r="I130" s="13">
        <f>IF(OR(E130="",E130=0),"",(G130+IF(H130="",0,H130))/E130)</f>
        <v/>
      </c>
      <c r="J130" s="29" t="n"/>
      <c r="K130" s="29" t="n"/>
      <c r="L130" s="29" t="n"/>
      <c r="M130" s="21">
        <f>IF(B130="","",VALUE(LEFT(B130,4)))</f>
        <v/>
      </c>
      <c r="N130" s="21">
        <f>IF(B130="","",VALUE(MID(B130,6,2)))</f>
        <v/>
      </c>
    </row>
    <row r="131" ht="20" customHeight="1">
      <c r="A131" s="21">
        <f>IF(B131="","",ROW()-3)</f>
        <v/>
      </c>
      <c r="B131" s="29" t="n"/>
      <c r="C131" s="29" t="n"/>
      <c r="D131" s="29" t="n"/>
      <c r="E131" s="41" t="n"/>
      <c r="F131" s="31" t="n"/>
      <c r="G131" s="13">
        <f>IF(OR(E131="",F131=""),"",E131*F131)</f>
        <v/>
      </c>
      <c r="H131" s="31" t="n"/>
      <c r="I131" s="13">
        <f>IF(OR(E131="",E131=0),"",(G131+IF(H131="",0,H131))/E131)</f>
        <v/>
      </c>
      <c r="J131" s="29" t="n"/>
      <c r="K131" s="29" t="n"/>
      <c r="L131" s="29" t="n"/>
      <c r="M131" s="21">
        <f>IF(B131="","",VALUE(LEFT(B131,4)))</f>
        <v/>
      </c>
      <c r="N131" s="21">
        <f>IF(B131="","",VALUE(MID(B131,6,2)))</f>
        <v/>
      </c>
    </row>
    <row r="132" ht="20" customHeight="1">
      <c r="A132" s="21">
        <f>IF(B132="","",ROW()-3)</f>
        <v/>
      </c>
      <c r="B132" s="29" t="n"/>
      <c r="C132" s="29" t="n"/>
      <c r="D132" s="29" t="n"/>
      <c r="E132" s="41" t="n"/>
      <c r="F132" s="31" t="n"/>
      <c r="G132" s="13">
        <f>IF(OR(E132="",F132=""),"",E132*F132)</f>
        <v/>
      </c>
      <c r="H132" s="31" t="n"/>
      <c r="I132" s="13">
        <f>IF(OR(E132="",E132=0),"",(G132+IF(H132="",0,H132))/E132)</f>
        <v/>
      </c>
      <c r="J132" s="29" t="n"/>
      <c r="K132" s="29" t="n"/>
      <c r="L132" s="29" t="n"/>
      <c r="M132" s="21">
        <f>IF(B132="","",VALUE(LEFT(B132,4)))</f>
        <v/>
      </c>
      <c r="N132" s="21">
        <f>IF(B132="","",VALUE(MID(B132,6,2)))</f>
        <v/>
      </c>
    </row>
    <row r="133" ht="20" customHeight="1">
      <c r="A133" s="21">
        <f>IF(B133="","",ROW()-3)</f>
        <v/>
      </c>
      <c r="B133" s="29" t="n"/>
      <c r="C133" s="29" t="n"/>
      <c r="D133" s="29" t="n"/>
      <c r="E133" s="41" t="n"/>
      <c r="F133" s="31" t="n"/>
      <c r="G133" s="13">
        <f>IF(OR(E133="",F133=""),"",E133*F133)</f>
        <v/>
      </c>
      <c r="H133" s="31" t="n"/>
      <c r="I133" s="13">
        <f>IF(OR(E133="",E133=0),"",(G133+IF(H133="",0,H133))/E133)</f>
        <v/>
      </c>
      <c r="J133" s="29" t="n"/>
      <c r="K133" s="29" t="n"/>
      <c r="L133" s="29" t="n"/>
      <c r="M133" s="21">
        <f>IF(B133="","",VALUE(LEFT(B133,4)))</f>
        <v/>
      </c>
      <c r="N133" s="21">
        <f>IF(B133="","",VALUE(MID(B133,6,2)))</f>
        <v/>
      </c>
    </row>
    <row r="134" ht="20" customHeight="1">
      <c r="A134" s="21">
        <f>IF(B134="","",ROW()-3)</f>
        <v/>
      </c>
      <c r="B134" s="29" t="n"/>
      <c r="C134" s="29" t="n"/>
      <c r="D134" s="29" t="n"/>
      <c r="E134" s="41" t="n"/>
      <c r="F134" s="31" t="n"/>
      <c r="G134" s="13">
        <f>IF(OR(E134="",F134=""),"",E134*F134)</f>
        <v/>
      </c>
      <c r="H134" s="31" t="n"/>
      <c r="I134" s="13">
        <f>IF(OR(E134="",E134=0),"",(G134+IF(H134="",0,H134))/E134)</f>
        <v/>
      </c>
      <c r="J134" s="29" t="n"/>
      <c r="K134" s="29" t="n"/>
      <c r="L134" s="29" t="n"/>
      <c r="M134" s="21">
        <f>IF(B134="","",VALUE(LEFT(B134,4)))</f>
        <v/>
      </c>
      <c r="N134" s="21">
        <f>IF(B134="","",VALUE(MID(B134,6,2)))</f>
        <v/>
      </c>
    </row>
    <row r="135" ht="20" customHeight="1">
      <c r="A135" s="21">
        <f>IF(B135="","",ROW()-3)</f>
        <v/>
      </c>
      <c r="B135" s="29" t="n"/>
      <c r="C135" s="29" t="n"/>
      <c r="D135" s="29" t="n"/>
      <c r="E135" s="41" t="n"/>
      <c r="F135" s="31" t="n"/>
      <c r="G135" s="13">
        <f>IF(OR(E135="",F135=""),"",E135*F135)</f>
        <v/>
      </c>
      <c r="H135" s="31" t="n"/>
      <c r="I135" s="13">
        <f>IF(OR(E135="",E135=0),"",(G135+IF(H135="",0,H135))/E135)</f>
        <v/>
      </c>
      <c r="J135" s="29" t="n"/>
      <c r="K135" s="29" t="n"/>
      <c r="L135" s="29" t="n"/>
      <c r="M135" s="21">
        <f>IF(B135="","",VALUE(LEFT(B135,4)))</f>
        <v/>
      </c>
      <c r="N135" s="21">
        <f>IF(B135="","",VALUE(MID(B135,6,2)))</f>
        <v/>
      </c>
    </row>
    <row r="136" ht="20" customHeight="1">
      <c r="A136" s="21">
        <f>IF(B136="","",ROW()-3)</f>
        <v/>
      </c>
      <c r="B136" s="29" t="n"/>
      <c r="C136" s="29" t="n"/>
      <c r="D136" s="29" t="n"/>
      <c r="E136" s="41" t="n"/>
      <c r="F136" s="31" t="n"/>
      <c r="G136" s="13">
        <f>IF(OR(E136="",F136=""),"",E136*F136)</f>
        <v/>
      </c>
      <c r="H136" s="31" t="n"/>
      <c r="I136" s="13">
        <f>IF(OR(E136="",E136=0),"",(G136+IF(H136="",0,H136))/E136)</f>
        <v/>
      </c>
      <c r="J136" s="29" t="n"/>
      <c r="K136" s="29" t="n"/>
      <c r="L136" s="29" t="n"/>
      <c r="M136" s="21">
        <f>IF(B136="","",VALUE(LEFT(B136,4)))</f>
        <v/>
      </c>
      <c r="N136" s="21">
        <f>IF(B136="","",VALUE(MID(B136,6,2)))</f>
        <v/>
      </c>
    </row>
    <row r="137" ht="20" customHeight="1">
      <c r="A137" s="21">
        <f>IF(B137="","",ROW()-3)</f>
        <v/>
      </c>
      <c r="B137" s="29" t="n"/>
      <c r="C137" s="29" t="n"/>
      <c r="D137" s="29" t="n"/>
      <c r="E137" s="41" t="n"/>
      <c r="F137" s="31" t="n"/>
      <c r="G137" s="13">
        <f>IF(OR(E137="",F137=""),"",E137*F137)</f>
        <v/>
      </c>
      <c r="H137" s="31" t="n"/>
      <c r="I137" s="13">
        <f>IF(OR(E137="",E137=0),"",(G137+IF(H137="",0,H137))/E137)</f>
        <v/>
      </c>
      <c r="J137" s="29" t="n"/>
      <c r="K137" s="29" t="n"/>
      <c r="L137" s="29" t="n"/>
      <c r="M137" s="21">
        <f>IF(B137="","",VALUE(LEFT(B137,4)))</f>
        <v/>
      </c>
      <c r="N137" s="21">
        <f>IF(B137="","",VALUE(MID(B137,6,2)))</f>
        <v/>
      </c>
    </row>
    <row r="138" ht="20" customHeight="1">
      <c r="A138" s="21">
        <f>IF(B138="","",ROW()-3)</f>
        <v/>
      </c>
      <c r="B138" s="29" t="n"/>
      <c r="C138" s="29" t="n"/>
      <c r="D138" s="29" t="n"/>
      <c r="E138" s="41" t="n"/>
      <c r="F138" s="31" t="n"/>
      <c r="G138" s="13">
        <f>IF(OR(E138="",F138=""),"",E138*F138)</f>
        <v/>
      </c>
      <c r="H138" s="31" t="n"/>
      <c r="I138" s="13">
        <f>IF(OR(E138="",E138=0),"",(G138+IF(H138="",0,H138))/E138)</f>
        <v/>
      </c>
      <c r="J138" s="29" t="n"/>
      <c r="K138" s="29" t="n"/>
      <c r="L138" s="29" t="n"/>
      <c r="M138" s="21">
        <f>IF(B138="","",VALUE(LEFT(B138,4)))</f>
        <v/>
      </c>
      <c r="N138" s="21">
        <f>IF(B138="","",VALUE(MID(B138,6,2)))</f>
        <v/>
      </c>
    </row>
    <row r="139" ht="20" customHeight="1">
      <c r="A139" s="21">
        <f>IF(B139="","",ROW()-3)</f>
        <v/>
      </c>
      <c r="B139" s="29" t="n"/>
      <c r="C139" s="29" t="n"/>
      <c r="D139" s="29" t="n"/>
      <c r="E139" s="41" t="n"/>
      <c r="F139" s="31" t="n"/>
      <c r="G139" s="13">
        <f>IF(OR(E139="",F139=""),"",E139*F139)</f>
        <v/>
      </c>
      <c r="H139" s="31" t="n"/>
      <c r="I139" s="13">
        <f>IF(OR(E139="",E139=0),"",(G139+IF(H139="",0,H139))/E139)</f>
        <v/>
      </c>
      <c r="J139" s="29" t="n"/>
      <c r="K139" s="29" t="n"/>
      <c r="L139" s="29" t="n"/>
      <c r="M139" s="21">
        <f>IF(B139="","",VALUE(LEFT(B139,4)))</f>
        <v/>
      </c>
      <c r="N139" s="21">
        <f>IF(B139="","",VALUE(MID(B139,6,2)))</f>
        <v/>
      </c>
    </row>
    <row r="140" ht="20" customHeight="1">
      <c r="A140" s="21">
        <f>IF(B140="","",ROW()-3)</f>
        <v/>
      </c>
      <c r="B140" s="29" t="n"/>
      <c r="C140" s="29" t="n"/>
      <c r="D140" s="29" t="n"/>
      <c r="E140" s="41" t="n"/>
      <c r="F140" s="31" t="n"/>
      <c r="G140" s="13">
        <f>IF(OR(E140="",F140=""),"",E140*F140)</f>
        <v/>
      </c>
      <c r="H140" s="31" t="n"/>
      <c r="I140" s="13">
        <f>IF(OR(E140="",E140=0),"",(G140+IF(H140="",0,H140))/E140)</f>
        <v/>
      </c>
      <c r="J140" s="29" t="n"/>
      <c r="K140" s="29" t="n"/>
      <c r="L140" s="29" t="n"/>
      <c r="M140" s="21">
        <f>IF(B140="","",VALUE(LEFT(B140,4)))</f>
        <v/>
      </c>
      <c r="N140" s="21">
        <f>IF(B140="","",VALUE(MID(B140,6,2)))</f>
        <v/>
      </c>
    </row>
    <row r="141" ht="20" customHeight="1">
      <c r="A141" s="21">
        <f>IF(B141="","",ROW()-3)</f>
        <v/>
      </c>
      <c r="B141" s="29" t="n"/>
      <c r="C141" s="29" t="n"/>
      <c r="D141" s="29" t="n"/>
      <c r="E141" s="41" t="n"/>
      <c r="F141" s="31" t="n"/>
      <c r="G141" s="13">
        <f>IF(OR(E141="",F141=""),"",E141*F141)</f>
        <v/>
      </c>
      <c r="H141" s="31" t="n"/>
      <c r="I141" s="13">
        <f>IF(OR(E141="",E141=0),"",(G141+IF(H141="",0,H141))/E141)</f>
        <v/>
      </c>
      <c r="J141" s="29" t="n"/>
      <c r="K141" s="29" t="n"/>
      <c r="L141" s="29" t="n"/>
      <c r="M141" s="21">
        <f>IF(B141="","",VALUE(LEFT(B141,4)))</f>
        <v/>
      </c>
      <c r="N141" s="21">
        <f>IF(B141="","",VALUE(MID(B141,6,2)))</f>
        <v/>
      </c>
    </row>
    <row r="142" ht="20" customHeight="1">
      <c r="A142" s="21">
        <f>IF(B142="","",ROW()-3)</f>
        <v/>
      </c>
      <c r="B142" s="29" t="n"/>
      <c r="C142" s="29" t="n"/>
      <c r="D142" s="29" t="n"/>
      <c r="E142" s="41" t="n"/>
      <c r="F142" s="31" t="n"/>
      <c r="G142" s="13">
        <f>IF(OR(E142="",F142=""),"",E142*F142)</f>
        <v/>
      </c>
      <c r="H142" s="31" t="n"/>
      <c r="I142" s="13">
        <f>IF(OR(E142="",E142=0),"",(G142+IF(H142="",0,H142))/E142)</f>
        <v/>
      </c>
      <c r="J142" s="29" t="n"/>
      <c r="K142" s="29" t="n"/>
      <c r="L142" s="29" t="n"/>
      <c r="M142" s="21">
        <f>IF(B142="","",VALUE(LEFT(B142,4)))</f>
        <v/>
      </c>
      <c r="N142" s="21">
        <f>IF(B142="","",VALUE(MID(B142,6,2)))</f>
        <v/>
      </c>
    </row>
    <row r="143" ht="20" customHeight="1">
      <c r="A143" s="21">
        <f>IF(B143="","",ROW()-3)</f>
        <v/>
      </c>
      <c r="B143" s="29" t="n"/>
      <c r="C143" s="29" t="n"/>
      <c r="D143" s="29" t="n"/>
      <c r="E143" s="41" t="n"/>
      <c r="F143" s="31" t="n"/>
      <c r="G143" s="13">
        <f>IF(OR(E143="",F143=""),"",E143*F143)</f>
        <v/>
      </c>
      <c r="H143" s="31" t="n"/>
      <c r="I143" s="13">
        <f>IF(OR(E143="",E143=0),"",(G143+IF(H143="",0,H143))/E143)</f>
        <v/>
      </c>
      <c r="J143" s="29" t="n"/>
      <c r="K143" s="29" t="n"/>
      <c r="L143" s="29" t="n"/>
      <c r="M143" s="21">
        <f>IF(B143="","",VALUE(LEFT(B143,4)))</f>
        <v/>
      </c>
      <c r="N143" s="21">
        <f>IF(B143="","",VALUE(MID(B143,6,2)))</f>
        <v/>
      </c>
    </row>
    <row r="144" ht="20" customHeight="1">
      <c r="A144" s="21">
        <f>IF(B144="","",ROW()-3)</f>
        <v/>
      </c>
      <c r="B144" s="29" t="n"/>
      <c r="C144" s="29" t="n"/>
      <c r="D144" s="29" t="n"/>
      <c r="E144" s="41" t="n"/>
      <c r="F144" s="31" t="n"/>
      <c r="G144" s="13">
        <f>IF(OR(E144="",F144=""),"",E144*F144)</f>
        <v/>
      </c>
      <c r="H144" s="31" t="n"/>
      <c r="I144" s="13">
        <f>IF(OR(E144="",E144=0),"",(G144+IF(H144="",0,H144))/E144)</f>
        <v/>
      </c>
      <c r="J144" s="29" t="n"/>
      <c r="K144" s="29" t="n"/>
      <c r="L144" s="29" t="n"/>
      <c r="M144" s="21">
        <f>IF(B144="","",VALUE(LEFT(B144,4)))</f>
        <v/>
      </c>
      <c r="N144" s="21">
        <f>IF(B144="","",VALUE(MID(B144,6,2)))</f>
        <v/>
      </c>
    </row>
    <row r="145" ht="20" customHeight="1">
      <c r="A145" s="21">
        <f>IF(B145="","",ROW()-3)</f>
        <v/>
      </c>
      <c r="B145" s="29" t="n"/>
      <c r="C145" s="29" t="n"/>
      <c r="D145" s="29" t="n"/>
      <c r="E145" s="41" t="n"/>
      <c r="F145" s="31" t="n"/>
      <c r="G145" s="13">
        <f>IF(OR(E145="",F145=""),"",E145*F145)</f>
        <v/>
      </c>
      <c r="H145" s="31" t="n"/>
      <c r="I145" s="13">
        <f>IF(OR(E145="",E145=0),"",(G145+IF(H145="",0,H145))/E145)</f>
        <v/>
      </c>
      <c r="J145" s="29" t="n"/>
      <c r="K145" s="29" t="n"/>
      <c r="L145" s="29" t="n"/>
      <c r="M145" s="21">
        <f>IF(B145="","",VALUE(LEFT(B145,4)))</f>
        <v/>
      </c>
      <c r="N145" s="21">
        <f>IF(B145="","",VALUE(MID(B145,6,2)))</f>
        <v/>
      </c>
    </row>
    <row r="146" ht="20" customHeight="1">
      <c r="A146" s="21">
        <f>IF(B146="","",ROW()-3)</f>
        <v/>
      </c>
      <c r="B146" s="29" t="n"/>
      <c r="C146" s="29" t="n"/>
      <c r="D146" s="29" t="n"/>
      <c r="E146" s="41" t="n"/>
      <c r="F146" s="31" t="n"/>
      <c r="G146" s="13">
        <f>IF(OR(E146="",F146=""),"",E146*F146)</f>
        <v/>
      </c>
      <c r="H146" s="31" t="n"/>
      <c r="I146" s="13">
        <f>IF(OR(E146="",E146=0),"",(G146+IF(H146="",0,H146))/E146)</f>
        <v/>
      </c>
      <c r="J146" s="29" t="n"/>
      <c r="K146" s="29" t="n"/>
      <c r="L146" s="29" t="n"/>
      <c r="M146" s="21">
        <f>IF(B146="","",VALUE(LEFT(B146,4)))</f>
        <v/>
      </c>
      <c r="N146" s="21">
        <f>IF(B146="","",VALUE(MID(B146,6,2)))</f>
        <v/>
      </c>
    </row>
    <row r="147" ht="20" customHeight="1">
      <c r="A147" s="21">
        <f>IF(B147="","",ROW()-3)</f>
        <v/>
      </c>
      <c r="B147" s="29" t="n"/>
      <c r="C147" s="29" t="n"/>
      <c r="D147" s="29" t="n"/>
      <c r="E147" s="41" t="n"/>
      <c r="F147" s="31" t="n"/>
      <c r="G147" s="13">
        <f>IF(OR(E147="",F147=""),"",E147*F147)</f>
        <v/>
      </c>
      <c r="H147" s="31" t="n"/>
      <c r="I147" s="13">
        <f>IF(OR(E147="",E147=0),"",(G147+IF(H147="",0,H147))/E147)</f>
        <v/>
      </c>
      <c r="J147" s="29" t="n"/>
      <c r="K147" s="29" t="n"/>
      <c r="L147" s="29" t="n"/>
      <c r="M147" s="21">
        <f>IF(B147="","",VALUE(LEFT(B147,4)))</f>
        <v/>
      </c>
      <c r="N147" s="21">
        <f>IF(B147="","",VALUE(MID(B147,6,2)))</f>
        <v/>
      </c>
    </row>
    <row r="148" ht="20" customHeight="1">
      <c r="A148" s="21">
        <f>IF(B148="","",ROW()-3)</f>
        <v/>
      </c>
      <c r="B148" s="29" t="n"/>
      <c r="C148" s="29" t="n"/>
      <c r="D148" s="29" t="n"/>
      <c r="E148" s="41" t="n"/>
      <c r="F148" s="31" t="n"/>
      <c r="G148" s="13">
        <f>IF(OR(E148="",F148=""),"",E148*F148)</f>
        <v/>
      </c>
      <c r="H148" s="31" t="n"/>
      <c r="I148" s="13">
        <f>IF(OR(E148="",E148=0),"",(G148+IF(H148="",0,H148))/E148)</f>
        <v/>
      </c>
      <c r="J148" s="29" t="n"/>
      <c r="K148" s="29" t="n"/>
      <c r="L148" s="29" t="n"/>
      <c r="M148" s="21">
        <f>IF(B148="","",VALUE(LEFT(B148,4)))</f>
        <v/>
      </c>
      <c r="N148" s="21">
        <f>IF(B148="","",VALUE(MID(B148,6,2)))</f>
        <v/>
      </c>
    </row>
    <row r="149" ht="20" customHeight="1">
      <c r="A149" s="21">
        <f>IF(B149="","",ROW()-3)</f>
        <v/>
      </c>
      <c r="B149" s="29" t="n"/>
      <c r="C149" s="29" t="n"/>
      <c r="D149" s="29" t="n"/>
      <c r="E149" s="41" t="n"/>
      <c r="F149" s="31" t="n"/>
      <c r="G149" s="13">
        <f>IF(OR(E149="",F149=""),"",E149*F149)</f>
        <v/>
      </c>
      <c r="H149" s="31" t="n"/>
      <c r="I149" s="13">
        <f>IF(OR(E149="",E149=0),"",(G149+IF(H149="",0,H149))/E149)</f>
        <v/>
      </c>
      <c r="J149" s="29" t="n"/>
      <c r="K149" s="29" t="n"/>
      <c r="L149" s="29" t="n"/>
      <c r="M149" s="21">
        <f>IF(B149="","",VALUE(LEFT(B149,4)))</f>
        <v/>
      </c>
      <c r="N149" s="21">
        <f>IF(B149="","",VALUE(MID(B149,6,2)))</f>
        <v/>
      </c>
    </row>
    <row r="150" ht="20" customHeight="1">
      <c r="A150" s="21">
        <f>IF(B150="","",ROW()-3)</f>
        <v/>
      </c>
      <c r="B150" s="29" t="n"/>
      <c r="C150" s="29" t="n"/>
      <c r="D150" s="29" t="n"/>
      <c r="E150" s="41" t="n"/>
      <c r="F150" s="31" t="n"/>
      <c r="G150" s="13">
        <f>IF(OR(E150="",F150=""),"",E150*F150)</f>
        <v/>
      </c>
      <c r="H150" s="31" t="n"/>
      <c r="I150" s="13">
        <f>IF(OR(E150="",E150=0),"",(G150+IF(H150="",0,H150))/E150)</f>
        <v/>
      </c>
      <c r="J150" s="29" t="n"/>
      <c r="K150" s="29" t="n"/>
      <c r="L150" s="29" t="n"/>
      <c r="M150" s="21">
        <f>IF(B150="","",VALUE(LEFT(B150,4)))</f>
        <v/>
      </c>
      <c r="N150" s="21">
        <f>IF(B150="","",VALUE(MID(B150,6,2)))</f>
        <v/>
      </c>
    </row>
    <row r="151" ht="20" customHeight="1">
      <c r="A151" s="21">
        <f>IF(B151="","",ROW()-3)</f>
        <v/>
      </c>
      <c r="B151" s="29" t="n"/>
      <c r="C151" s="29" t="n"/>
      <c r="D151" s="29" t="n"/>
      <c r="E151" s="41" t="n"/>
      <c r="F151" s="31" t="n"/>
      <c r="G151" s="13">
        <f>IF(OR(E151="",F151=""),"",E151*F151)</f>
        <v/>
      </c>
      <c r="H151" s="31" t="n"/>
      <c r="I151" s="13">
        <f>IF(OR(E151="",E151=0),"",(G151+IF(H151="",0,H151))/E151)</f>
        <v/>
      </c>
      <c r="J151" s="29" t="n"/>
      <c r="K151" s="29" t="n"/>
      <c r="L151" s="29" t="n"/>
      <c r="M151" s="21">
        <f>IF(B151="","",VALUE(LEFT(B151,4)))</f>
        <v/>
      </c>
      <c r="N151" s="21">
        <f>IF(B151="","",VALUE(MID(B151,6,2)))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N151"/>
  <mergeCells count="2">
    <mergeCell ref="A2:N2"/>
    <mergeCell ref="A1:N1"/>
  </mergeCells>
  <conditionalFormatting sqref="K4:K151">
    <cfRule type="cellIs" priority="1" operator="equal" dxfId="6">
      <formula>"رد شده"</formula>
    </cfRule>
    <cfRule type="cellIs" priority="2" operator="equal" dxfId="7">
      <formula>"تأیید شده"</formula>
    </cfRule>
    <cfRule type="cellIs" priority="3" operator="equal" dxfId="8">
      <formula>"در انتظار"</formula>
    </cfRule>
  </conditionalFormatting>
  <dataValidations count="5">
    <dataValidation sqref="B2:B151" showDropDown="0" showInputMessage="0" showErrorMessage="0" allowBlank="1" errorTitle="تاریخ شمسی" error="تاریخ را مثل 1405/06/18 وارد کنید" promptTitle="تاریخ شمسی" prompt="نمونه: 1405/06/18" type="custom">
      <formula1>AND(LEN(B4)=10,MID(B4,5,1)="/",MID(B4,8,1)="/")</formula1>
    </dataValidation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=SupplierNames</formula1>
    </dataValidation>
    <dataValidation sqref="D4:D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=ProductsList</formula1>
    </dataValidation>
    <dataValidation sqref="J4:J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=QualityList</formula1>
    </dataValidation>
    <dataValidation sqref="K4:K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=ApprovalList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H8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14" customWidth="1" min="5" max="5"/>
    <col width="18" customWidth="1" min="6" max="6"/>
    <col width="16" customWidth="1" min="7" max="7"/>
    <col width="36" customWidth="1" min="8" max="8"/>
  </cols>
  <sheetData>
    <row r="1" ht="28" customHeight="1">
      <c r="A1" s="1" t="inlineStr">
        <is>
          <t>موجودی — خلاصه خودکار از خرید / تولید / فروش + دفتر تعدیل</t>
        </is>
      </c>
    </row>
    <row r="2" ht="22" customHeight="1">
      <c r="A2" s="22" t="inlineStr">
        <is>
          <t>این برگه را پدر/مسئول انبار می‌بیند. خرید و فروش را دوباره وارد نکنید — خودکار حساب می‌شود. فقط شمارش و ضایعات انبار را پایین بزنید.</t>
        </is>
      </c>
    </row>
    <row r="3">
      <c r="A3" s="3" t="inlineStr">
        <is>
          <t>الف) خلاصه موجودی لحظه‌ای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نوع موجودی</t>
        </is>
      </c>
      <c r="B4" s="3" t="inlineStr">
        <is>
          <t>محصول</t>
        </is>
      </c>
      <c r="C4" s="3" t="inlineStr">
        <is>
          <t>موجودی محاسبه‌شده</t>
        </is>
      </c>
      <c r="D4" s="3" t="inlineStr">
        <is>
          <t>واحد</t>
        </is>
      </c>
      <c r="E4" s="3" t="inlineStr">
        <is>
          <t>حداقل</t>
        </is>
      </c>
      <c r="F4" s="3" t="inlineStr">
        <is>
          <t>وضعیت</t>
        </is>
      </c>
      <c r="G4" s="3" t="inlineStr">
        <is>
          <t>محل نگهداری</t>
        </is>
      </c>
      <c r="H4" s="3" t="inlineStr">
        <is>
          <t>نکته</t>
        </is>
      </c>
    </row>
    <row r="5">
      <c r="A5" s="10" t="inlineStr">
        <is>
          <t>مواد اولیه</t>
        </is>
      </c>
      <c r="B5" s="10" t="inlineStr">
        <is>
          <t>لوبیا چیتی</t>
        </is>
      </c>
      <c r="C5" s="17">
        <f>SUMIFS(Purchases!$E$4:$E$151,Purchases!$D$4:$D$151,B5,Purchases!$K$4:$K$151,"تأیید شده")-SUMIFS(Production!$D$4:$D$151,Production!$C$4:$C$151,B5)+SUMIFS($D$50:$D$90,$C$50:$C$90,B5,$B$50:$B$90,A5)-SUMIFS($E$50:$E$90,$C$50:$C$90,B5,$B$50:$B$90,A5)</f>
        <v/>
      </c>
      <c r="D5" s="15" t="inlineStr">
        <is>
          <t>کیلوگرم</t>
        </is>
      </c>
      <c r="E5" s="33" t="n">
        <v>25</v>
      </c>
      <c r="F5" s="14">
        <f>IF(C5="","—",IF(C5&gt;=E5,"مطلوب",IF(C5&gt;=E5*0.4,"نیاز به بررسی","بحرانی")))</f>
        <v/>
      </c>
      <c r="G5" s="15" t="inlineStr">
        <is>
          <t>انبار مواد اولیه</t>
        </is>
      </c>
      <c r="H5" s="14">
        <f>IF(C5&lt;0,"خطا: خروجی بیشتر از ورودی","")</f>
        <v/>
      </c>
    </row>
    <row r="6">
      <c r="A6" s="10" t="inlineStr">
        <is>
          <t>مواد اولیه</t>
        </is>
      </c>
      <c r="B6" s="10" t="inlineStr">
        <is>
          <t>لوبیا قرمز</t>
        </is>
      </c>
      <c r="C6" s="17">
        <f>SUMIFS(Purchases!$E$4:$E$151,Purchases!$D$4:$D$151,B6,Purchases!$K$4:$K$151,"تأیید شده")-SUMIFS(Production!$D$4:$D$151,Production!$C$4:$C$151,B6)+SUMIFS($D$50:$D$90,$C$50:$C$90,B6,$B$50:$B$90,A6)-SUMIFS($E$50:$E$90,$C$50:$C$90,B6,$B$50:$B$90,A6)</f>
        <v/>
      </c>
      <c r="D6" s="15" t="inlineStr">
        <is>
          <t>کیلوگرم</t>
        </is>
      </c>
      <c r="E6" s="33" t="n">
        <v>25</v>
      </c>
      <c r="F6" s="14">
        <f>IF(C6="","—",IF(C6&gt;=E6,"مطلوب",IF(C6&gt;=E6*0.4,"نیاز به بررسی","بحرانی")))</f>
        <v/>
      </c>
      <c r="G6" s="15" t="inlineStr">
        <is>
          <t>انبار مواد اولیه</t>
        </is>
      </c>
      <c r="H6" s="14">
        <f>IF(C6&lt;0,"خطا: خروجی بیشتر از ورودی","")</f>
        <v/>
      </c>
    </row>
    <row r="7">
      <c r="A7" s="10" t="inlineStr">
        <is>
          <t>مواد اولیه</t>
        </is>
      </c>
      <c r="B7" s="10" t="inlineStr">
        <is>
          <t>لوبیا سفید</t>
        </is>
      </c>
      <c r="C7" s="17">
        <f>SUMIFS(Purchases!$E$4:$E$151,Purchases!$D$4:$D$151,B7,Purchases!$K$4:$K$151,"تأیید شده")-SUMIFS(Production!$D$4:$D$151,Production!$C$4:$C$151,B7)+SUMIFS($D$50:$D$90,$C$50:$C$90,B7,$B$50:$B$90,A7)-SUMIFS($E$50:$E$90,$C$50:$C$90,B7,$B$50:$B$90,A7)</f>
        <v/>
      </c>
      <c r="D7" s="15" t="inlineStr">
        <is>
          <t>کیلوگرم</t>
        </is>
      </c>
      <c r="E7" s="33" t="n">
        <v>25</v>
      </c>
      <c r="F7" s="14">
        <f>IF(C7="","—",IF(C7&gt;=E7,"مطلوب",IF(C7&gt;=E7*0.4,"نیاز به بررسی","بحرانی")))</f>
        <v/>
      </c>
      <c r="G7" s="15" t="inlineStr">
        <is>
          <t>انبار مواد اولیه</t>
        </is>
      </c>
      <c r="H7" s="14">
        <f>IF(C7&lt;0,"خطا: خروجی بیشتر از ورودی","")</f>
        <v/>
      </c>
    </row>
    <row r="8">
      <c r="A8" s="10" t="inlineStr">
        <is>
          <t>مواد اولیه</t>
        </is>
      </c>
      <c r="B8" s="10" t="inlineStr">
        <is>
          <t>عدس</t>
        </is>
      </c>
      <c r="C8" s="17">
        <f>SUMIFS(Purchases!$E$4:$E$151,Purchases!$D$4:$D$151,B8,Purchases!$K$4:$K$151,"تأیید شده")-SUMIFS(Production!$D$4:$D$151,Production!$C$4:$C$151,B8)+SUMIFS($D$50:$D$90,$C$50:$C$90,B8,$B$50:$B$90,A8)-SUMIFS($E$50:$E$90,$C$50:$C$90,B8,$B$50:$B$90,A8)</f>
        <v/>
      </c>
      <c r="D8" s="15" t="inlineStr">
        <is>
          <t>کیلوگرم</t>
        </is>
      </c>
      <c r="E8" s="33" t="n">
        <v>25</v>
      </c>
      <c r="F8" s="14">
        <f>IF(C8="","—",IF(C8&gt;=E8,"مطلوب",IF(C8&gt;=E8*0.4,"نیاز به بررسی","بحرانی")))</f>
        <v/>
      </c>
      <c r="G8" s="15" t="inlineStr">
        <is>
          <t>انبار مواد اولیه</t>
        </is>
      </c>
      <c r="H8" s="14">
        <f>IF(C8&lt;0,"خطا: خروجی بیشتر از ورودی","")</f>
        <v/>
      </c>
    </row>
    <row r="9">
      <c r="A9" s="10" t="inlineStr">
        <is>
          <t>مواد اولیه</t>
        </is>
      </c>
      <c r="B9" s="10" t="inlineStr">
        <is>
          <t>نخود</t>
        </is>
      </c>
      <c r="C9" s="17">
        <f>SUMIFS(Purchases!$E$4:$E$151,Purchases!$D$4:$D$151,B9,Purchases!$K$4:$K$151,"تأیید شده")-SUMIFS(Production!$D$4:$D$151,Production!$C$4:$C$151,B9)+SUMIFS($D$50:$D$90,$C$50:$C$90,B9,$B$50:$B$90,A9)-SUMIFS($E$50:$E$90,$C$50:$C$90,B9,$B$50:$B$90,A9)</f>
        <v/>
      </c>
      <c r="D9" s="15" t="inlineStr">
        <is>
          <t>کیلوگرم</t>
        </is>
      </c>
      <c r="E9" s="33" t="n">
        <v>25</v>
      </c>
      <c r="F9" s="14">
        <f>IF(C9="","—",IF(C9&gt;=E9,"مطلوب",IF(C9&gt;=E9*0.4,"نیاز به بررسی","بحرانی")))</f>
        <v/>
      </c>
      <c r="G9" s="15" t="inlineStr">
        <is>
          <t>انبار مواد اولیه</t>
        </is>
      </c>
      <c r="H9" s="14">
        <f>IF(C9&lt;0,"خطا: خروجی بیشتر از ورودی","")</f>
        <v/>
      </c>
    </row>
    <row r="10">
      <c r="A10" s="10" t="inlineStr">
        <is>
          <t>مواد اولیه</t>
        </is>
      </c>
      <c r="B10" s="10" t="inlineStr">
        <is>
          <t>لپه</t>
        </is>
      </c>
      <c r="C10" s="17">
        <f>SUMIFS(Purchases!$E$4:$E$151,Purchases!$D$4:$D$151,B10,Purchases!$K$4:$K$151,"تأیید شده")-SUMIFS(Production!$D$4:$D$151,Production!$C$4:$C$151,B10)+SUMIFS($D$50:$D$90,$C$50:$C$90,B10,$B$50:$B$90,A10)-SUMIFS($E$50:$E$90,$C$50:$C$90,B10,$B$50:$B$90,A10)</f>
        <v/>
      </c>
      <c r="D10" s="15" t="inlineStr">
        <is>
          <t>کیلوگرم</t>
        </is>
      </c>
      <c r="E10" s="33" t="n">
        <v>25</v>
      </c>
      <c r="F10" s="14">
        <f>IF(C10="","—",IF(C10&gt;=E10,"مطلوب",IF(C10&gt;=E10*0.4,"نیاز به بررسی","بحرانی")))</f>
        <v/>
      </c>
      <c r="G10" s="15" t="inlineStr">
        <is>
          <t>انبار مواد اولیه</t>
        </is>
      </c>
      <c r="H10" s="14">
        <f>IF(C10&lt;0,"خطا: خروجی بیشتر از ورودی","")</f>
        <v/>
      </c>
    </row>
    <row r="11">
      <c r="A11" s="10" t="inlineStr">
        <is>
          <t>مواد اولیه</t>
        </is>
      </c>
      <c r="B11" s="10" t="inlineStr">
        <is>
          <t>ماش</t>
        </is>
      </c>
      <c r="C11" s="17">
        <f>SUMIFS(Purchases!$E$4:$E$151,Purchases!$D$4:$D$151,B11,Purchases!$K$4:$K$151,"تأیید شده")-SUMIFS(Production!$D$4:$D$151,Production!$C$4:$C$151,B11)+SUMIFS($D$50:$D$90,$C$50:$C$90,B11,$B$50:$B$90,A11)-SUMIFS($E$50:$E$90,$C$50:$C$90,B11,$B$50:$B$90,A11)</f>
        <v/>
      </c>
      <c r="D11" s="15" t="inlineStr">
        <is>
          <t>کیلوگرم</t>
        </is>
      </c>
      <c r="E11" s="33" t="n">
        <v>25</v>
      </c>
      <c r="F11" s="14">
        <f>IF(C11="","—",IF(C11&gt;=E11,"مطلوب",IF(C11&gt;=E11*0.4,"نیاز به بررسی","بحرانی")))</f>
        <v/>
      </c>
      <c r="G11" s="15" t="inlineStr">
        <is>
          <t>انبار مواد اولیه</t>
        </is>
      </c>
      <c r="H11" s="14">
        <f>IF(C11&lt;0,"خطا: خروجی بیشتر از ورودی","")</f>
        <v/>
      </c>
    </row>
    <row r="12">
      <c r="A12" s="3" t="inlineStr">
        <is>
          <t>محصول نهایی (کیلو — از مقدار پاک‌شده منهای فروش)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" t="inlineStr">
        <is>
          <t>نوع موجودی</t>
        </is>
      </c>
      <c r="B13" s="3" t="inlineStr">
        <is>
          <t>محصول</t>
        </is>
      </c>
      <c r="C13" s="3" t="inlineStr">
        <is>
          <t>موجودی محاسبه‌شده</t>
        </is>
      </c>
      <c r="D13" s="3" t="inlineStr">
        <is>
          <t>واحد</t>
        </is>
      </c>
      <c r="E13" s="3" t="inlineStr">
        <is>
          <t>حداقل</t>
        </is>
      </c>
      <c r="F13" s="3" t="inlineStr">
        <is>
          <t>وضعیت</t>
        </is>
      </c>
      <c r="G13" s="3" t="inlineStr">
        <is>
          <t>محل نگهداری</t>
        </is>
      </c>
      <c r="H13" s="3" t="inlineStr">
        <is>
          <t>نکته</t>
        </is>
      </c>
    </row>
    <row r="14">
      <c r="A14" s="10" t="inlineStr">
        <is>
          <t>محصول نهایی</t>
        </is>
      </c>
      <c r="B14" s="10" t="inlineStr">
        <is>
          <t>لوبیا چیتی</t>
        </is>
      </c>
      <c r="C14" s="17">
        <f>SUMIFS(Production!$E$4:$E$151,Production!$C$4:$C$151,B14)-SUMIFS(Sales!$H$4:$H$151,Sales!$E$4:$E$151,B14)+SUMIFS($D$50:$D$90,$C$50:$C$90,B14,$B$50:$B$90,A14)-SUMIFS($E$50:$E$90,$C$50:$C$90,B14,$B$50:$B$90,A14)</f>
        <v/>
      </c>
      <c r="D14" s="15" t="inlineStr">
        <is>
          <t>کیلوگرم</t>
        </is>
      </c>
      <c r="E14" s="33" t="n">
        <v>15</v>
      </c>
      <c r="F14" s="14">
        <f>IF(C14="","—",IF(C14&gt;=E14,"مطلوب",IF(C14&gt;=E14*0.4,"نیاز به بررسی","بحرانی")))</f>
        <v/>
      </c>
      <c r="G14" s="15" t="inlineStr">
        <is>
          <t>انبار محصول نهایی</t>
        </is>
      </c>
      <c r="H14" s="14">
        <f>IF(C14&lt;0,"خطا: فروش بیشتر از تولید","")</f>
        <v/>
      </c>
    </row>
    <row r="15">
      <c r="A15" s="10" t="inlineStr">
        <is>
          <t>محصول نهایی</t>
        </is>
      </c>
      <c r="B15" s="10" t="inlineStr">
        <is>
          <t>لوبیا قرمز</t>
        </is>
      </c>
      <c r="C15" s="17">
        <f>SUMIFS(Production!$E$4:$E$151,Production!$C$4:$C$151,B15)-SUMIFS(Sales!$H$4:$H$151,Sales!$E$4:$E$151,B15)+SUMIFS($D$50:$D$90,$C$50:$C$90,B15,$B$50:$B$90,A15)-SUMIFS($E$50:$E$90,$C$50:$C$90,B15,$B$50:$B$90,A15)</f>
        <v/>
      </c>
      <c r="D15" s="15" t="inlineStr">
        <is>
          <t>کیلوگرم</t>
        </is>
      </c>
      <c r="E15" s="33" t="n">
        <v>15</v>
      </c>
      <c r="F15" s="14">
        <f>IF(C15="","—",IF(C15&gt;=E15,"مطلوب",IF(C15&gt;=E15*0.4,"نیاز به بررسی","بحرانی")))</f>
        <v/>
      </c>
      <c r="G15" s="15" t="inlineStr">
        <is>
          <t>انبار محصول نهایی</t>
        </is>
      </c>
      <c r="H15" s="14">
        <f>IF(C15&lt;0,"خطا: فروش بیشتر از تولید","")</f>
        <v/>
      </c>
    </row>
    <row r="16">
      <c r="A16" s="10" t="inlineStr">
        <is>
          <t>محصول نهایی</t>
        </is>
      </c>
      <c r="B16" s="10" t="inlineStr">
        <is>
          <t>لوبیا سفید</t>
        </is>
      </c>
      <c r="C16" s="17">
        <f>SUMIFS(Production!$E$4:$E$151,Production!$C$4:$C$151,B16)-SUMIFS(Sales!$H$4:$H$151,Sales!$E$4:$E$151,B16)+SUMIFS($D$50:$D$90,$C$50:$C$90,B16,$B$50:$B$90,A16)-SUMIFS($E$50:$E$90,$C$50:$C$90,B16,$B$50:$B$90,A16)</f>
        <v/>
      </c>
      <c r="D16" s="15" t="inlineStr">
        <is>
          <t>کیلوگرم</t>
        </is>
      </c>
      <c r="E16" s="33" t="n">
        <v>15</v>
      </c>
      <c r="F16" s="14">
        <f>IF(C16="","—",IF(C16&gt;=E16,"مطلوب",IF(C16&gt;=E16*0.4,"نیاز به بررسی","بحرانی")))</f>
        <v/>
      </c>
      <c r="G16" s="15" t="inlineStr">
        <is>
          <t>انبار محصول نهایی</t>
        </is>
      </c>
      <c r="H16" s="14">
        <f>IF(C16&lt;0,"خطا: فروش بیشتر از تولید","")</f>
        <v/>
      </c>
    </row>
    <row r="17">
      <c r="A17" s="10" t="inlineStr">
        <is>
          <t>محصول نهایی</t>
        </is>
      </c>
      <c r="B17" s="10" t="inlineStr">
        <is>
          <t>عدس</t>
        </is>
      </c>
      <c r="C17" s="17">
        <f>SUMIFS(Production!$E$4:$E$151,Production!$C$4:$C$151,B17)-SUMIFS(Sales!$H$4:$H$151,Sales!$E$4:$E$151,B17)+SUMIFS($D$50:$D$90,$C$50:$C$90,B17,$B$50:$B$90,A17)-SUMIFS($E$50:$E$90,$C$50:$C$90,B17,$B$50:$B$90,A17)</f>
        <v/>
      </c>
      <c r="D17" s="15" t="inlineStr">
        <is>
          <t>کیلوگرم</t>
        </is>
      </c>
      <c r="E17" s="33" t="n">
        <v>15</v>
      </c>
      <c r="F17" s="14">
        <f>IF(C17="","—",IF(C17&gt;=E17,"مطلوب",IF(C17&gt;=E17*0.4,"نیاز به بررسی","بحرانی")))</f>
        <v/>
      </c>
      <c r="G17" s="15" t="inlineStr">
        <is>
          <t>انبار محصول نهایی</t>
        </is>
      </c>
      <c r="H17" s="14">
        <f>IF(C17&lt;0,"خطا: فروش بیشتر از تولید","")</f>
        <v/>
      </c>
    </row>
    <row r="18">
      <c r="A18" s="10" t="inlineStr">
        <is>
          <t>محصول نهایی</t>
        </is>
      </c>
      <c r="B18" s="10" t="inlineStr">
        <is>
          <t>نخود</t>
        </is>
      </c>
      <c r="C18" s="17">
        <f>SUMIFS(Production!$E$4:$E$151,Production!$C$4:$C$151,B18)-SUMIFS(Sales!$H$4:$H$151,Sales!$E$4:$E$151,B18)+SUMIFS($D$50:$D$90,$C$50:$C$90,B18,$B$50:$B$90,A18)-SUMIFS($E$50:$E$90,$C$50:$C$90,B18,$B$50:$B$90,A18)</f>
        <v/>
      </c>
      <c r="D18" s="15" t="inlineStr">
        <is>
          <t>کیلوگرم</t>
        </is>
      </c>
      <c r="E18" s="33" t="n">
        <v>15</v>
      </c>
      <c r="F18" s="14">
        <f>IF(C18="","—",IF(C18&gt;=E18,"مطلوب",IF(C18&gt;=E18*0.4,"نیاز به بررسی","بحرانی")))</f>
        <v/>
      </c>
      <c r="G18" s="15" t="inlineStr">
        <is>
          <t>انبار محصول نهایی</t>
        </is>
      </c>
      <c r="H18" s="14">
        <f>IF(C18&lt;0,"خطا: فروش بیشتر از تولید","")</f>
        <v/>
      </c>
    </row>
    <row r="19">
      <c r="A19" s="10" t="inlineStr">
        <is>
          <t>محصول نهایی</t>
        </is>
      </c>
      <c r="B19" s="10" t="inlineStr">
        <is>
          <t>لپه</t>
        </is>
      </c>
      <c r="C19" s="17">
        <f>SUMIFS(Production!$E$4:$E$151,Production!$C$4:$C$151,B19)-SUMIFS(Sales!$H$4:$H$151,Sales!$E$4:$E$151,B19)+SUMIFS($D$50:$D$90,$C$50:$C$90,B19,$B$50:$B$90,A19)-SUMIFS($E$50:$E$90,$C$50:$C$90,B19,$B$50:$B$90,A19)</f>
        <v/>
      </c>
      <c r="D19" s="15" t="inlineStr">
        <is>
          <t>کیلوگرم</t>
        </is>
      </c>
      <c r="E19" s="33" t="n">
        <v>15</v>
      </c>
      <c r="F19" s="14">
        <f>IF(C19="","—",IF(C19&gt;=E19,"مطلوب",IF(C19&gt;=E19*0.4,"نیاز به بررسی","بحرانی")))</f>
        <v/>
      </c>
      <c r="G19" s="15" t="inlineStr">
        <is>
          <t>انبار محصول نهایی</t>
        </is>
      </c>
      <c r="H19" s="14">
        <f>IF(C19&lt;0,"خطا: فروش بیشتر از تولید","")</f>
        <v/>
      </c>
    </row>
    <row r="20">
      <c r="A20" s="10" t="inlineStr">
        <is>
          <t>محصول نهایی</t>
        </is>
      </c>
      <c r="B20" s="10" t="inlineStr">
        <is>
          <t>ماش</t>
        </is>
      </c>
      <c r="C20" s="17">
        <f>SUMIFS(Production!$E$4:$E$151,Production!$C$4:$C$151,B20)-SUMIFS(Sales!$H$4:$H$151,Sales!$E$4:$E$151,B20)+SUMIFS($D$50:$D$90,$C$50:$C$90,B20,$B$50:$B$90,A20)-SUMIFS($E$50:$E$90,$C$50:$C$90,B20,$B$50:$B$90,A20)</f>
        <v/>
      </c>
      <c r="D20" s="15" t="inlineStr">
        <is>
          <t>کیلوگرم</t>
        </is>
      </c>
      <c r="E20" s="33" t="n">
        <v>15</v>
      </c>
      <c r="F20" s="14">
        <f>IF(C20="","—",IF(C20&gt;=E20,"مطلوب",IF(C20&gt;=E20*0.4,"نیاز به بررسی","بحرانی")))</f>
        <v/>
      </c>
      <c r="G20" s="15" t="inlineStr">
        <is>
          <t>انبار محصول نهایی</t>
        </is>
      </c>
      <c r="H20" s="14">
        <f>IF(C20&lt;0,"خطا: فروش بیشتر از تولید","")</f>
        <v/>
      </c>
    </row>
    <row r="21">
      <c r="A21" s="3" t="inlineStr">
        <is>
          <t>جمع مواد اولیه</t>
        </is>
      </c>
      <c r="C21" s="42">
        <f>SUM(C5:C11)</f>
        <v/>
      </c>
    </row>
    <row r="22">
      <c r="A22" s="3" t="inlineStr">
        <is>
          <t>جمع محصول نهایی</t>
        </is>
      </c>
      <c r="C22" s="42">
        <f>SUM(C14:C20)</f>
        <v/>
      </c>
    </row>
    <row r="24">
      <c r="A24" s="3" t="inlineStr">
        <is>
          <t>ب) موجودی بسته (تعداد بسته تولیدشده − تعداد فروش)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3" t="inlineStr">
        <is>
          <t>محصول</t>
        </is>
      </c>
      <c r="B25" s="3" t="inlineStr">
        <is>
          <t>وزن بسته</t>
        </is>
      </c>
      <c r="C25" s="3" t="inlineStr">
        <is>
          <t>تولید بسته</t>
        </is>
      </c>
      <c r="D25" s="3" t="inlineStr">
        <is>
          <t>فروش بسته</t>
        </is>
      </c>
      <c r="E25" s="3" t="inlineStr">
        <is>
          <t>مانده بسته</t>
        </is>
      </c>
      <c r="F25" s="3" t="inlineStr">
        <is>
          <t>واحد</t>
        </is>
      </c>
      <c r="G25" s="3" t="inlineStr"/>
      <c r="H25" s="3" t="inlineStr"/>
    </row>
    <row r="26">
      <c r="A26" s="10" t="inlineStr">
        <is>
          <t>لوبیا چیتی</t>
        </is>
      </c>
      <c r="B26" s="43" t="n">
        <v>0.4</v>
      </c>
      <c r="C26" s="13">
        <f>SUMIFS(Production!$I$4:$I$151,Production!$C$4:$C$151,A26,Production!$H$4:$H$151,B26)</f>
        <v/>
      </c>
      <c r="D26" s="13">
        <f>SUMIFS(Sales!$G$4:$G$151,Sales!$E$4:$E$151,A26,Sales!$F$4:$F$151,B26)</f>
        <v/>
      </c>
      <c r="E26" s="13">
        <f>C26-D26</f>
        <v/>
      </c>
      <c r="F26" s="15" t="inlineStr">
        <is>
          <t>بسته</t>
        </is>
      </c>
    </row>
    <row r="27">
      <c r="A27" s="10" t="inlineStr">
        <is>
          <t>لوبیا چیتی</t>
        </is>
      </c>
      <c r="B27" s="43" t="n">
        <v>0.9</v>
      </c>
      <c r="C27" s="13">
        <f>SUMIFS(Production!$I$4:$I$151,Production!$C$4:$C$151,A27,Production!$H$4:$H$151,B27)</f>
        <v/>
      </c>
      <c r="D27" s="13">
        <f>SUMIFS(Sales!$G$4:$G$151,Sales!$E$4:$E$151,A27,Sales!$F$4:$F$151,B27)</f>
        <v/>
      </c>
      <c r="E27" s="13">
        <f>C27-D27</f>
        <v/>
      </c>
      <c r="F27" s="15" t="inlineStr">
        <is>
          <t>بسته</t>
        </is>
      </c>
    </row>
    <row r="28">
      <c r="A28" s="10" t="inlineStr">
        <is>
          <t>لوبیا چیتی</t>
        </is>
      </c>
      <c r="B28" s="43" t="n">
        <v>10</v>
      </c>
      <c r="C28" s="13">
        <f>SUMIFS(Production!$I$4:$I$151,Production!$C$4:$C$151,A28,Production!$H$4:$H$151,B28)</f>
        <v/>
      </c>
      <c r="D28" s="13">
        <f>SUMIFS(Sales!$G$4:$G$151,Sales!$E$4:$E$151,A28,Sales!$F$4:$F$151,B28)</f>
        <v/>
      </c>
      <c r="E28" s="13">
        <f>C28-D28</f>
        <v/>
      </c>
      <c r="F28" s="15" t="inlineStr">
        <is>
          <t>بسته</t>
        </is>
      </c>
    </row>
    <row r="29">
      <c r="A29" s="10" t="inlineStr">
        <is>
          <t>لوبیا قرمز</t>
        </is>
      </c>
      <c r="B29" s="43" t="n">
        <v>0.4</v>
      </c>
      <c r="C29" s="13">
        <f>SUMIFS(Production!$I$4:$I$151,Production!$C$4:$C$151,A29,Production!$H$4:$H$151,B29)</f>
        <v/>
      </c>
      <c r="D29" s="13">
        <f>SUMIFS(Sales!$G$4:$G$151,Sales!$E$4:$E$151,A29,Sales!$F$4:$F$151,B29)</f>
        <v/>
      </c>
      <c r="E29" s="13">
        <f>C29-D29</f>
        <v/>
      </c>
      <c r="F29" s="15" t="inlineStr">
        <is>
          <t>بسته</t>
        </is>
      </c>
    </row>
    <row r="30">
      <c r="A30" s="10" t="inlineStr">
        <is>
          <t>لوبیا قرمز</t>
        </is>
      </c>
      <c r="B30" s="43" t="n">
        <v>0.9</v>
      </c>
      <c r="C30" s="13">
        <f>SUMIFS(Production!$I$4:$I$151,Production!$C$4:$C$151,A30,Production!$H$4:$H$151,B30)</f>
        <v/>
      </c>
      <c r="D30" s="13">
        <f>SUMIFS(Sales!$G$4:$G$151,Sales!$E$4:$E$151,A30,Sales!$F$4:$F$151,B30)</f>
        <v/>
      </c>
      <c r="E30" s="13">
        <f>C30-D30</f>
        <v/>
      </c>
      <c r="F30" s="15" t="inlineStr">
        <is>
          <t>بسته</t>
        </is>
      </c>
    </row>
    <row r="31">
      <c r="A31" s="10" t="inlineStr">
        <is>
          <t>لوبیا قرمز</t>
        </is>
      </c>
      <c r="B31" s="43" t="n">
        <v>10</v>
      </c>
      <c r="C31" s="13">
        <f>SUMIFS(Production!$I$4:$I$151,Production!$C$4:$C$151,A31,Production!$H$4:$H$151,B31)</f>
        <v/>
      </c>
      <c r="D31" s="13">
        <f>SUMIFS(Sales!$G$4:$G$151,Sales!$E$4:$E$151,A31,Sales!$F$4:$F$151,B31)</f>
        <v/>
      </c>
      <c r="E31" s="13">
        <f>C31-D31</f>
        <v/>
      </c>
      <c r="F31" s="15" t="inlineStr">
        <is>
          <t>بسته</t>
        </is>
      </c>
    </row>
    <row r="32">
      <c r="A32" s="10" t="inlineStr">
        <is>
          <t>لوبیا سفید</t>
        </is>
      </c>
      <c r="B32" s="43" t="n">
        <v>0.4</v>
      </c>
      <c r="C32" s="13">
        <f>SUMIFS(Production!$I$4:$I$151,Production!$C$4:$C$151,A32,Production!$H$4:$H$151,B32)</f>
        <v/>
      </c>
      <c r="D32" s="13">
        <f>SUMIFS(Sales!$G$4:$G$151,Sales!$E$4:$E$151,A32,Sales!$F$4:$F$151,B32)</f>
        <v/>
      </c>
      <c r="E32" s="13">
        <f>C32-D32</f>
        <v/>
      </c>
      <c r="F32" s="15" t="inlineStr">
        <is>
          <t>بسته</t>
        </is>
      </c>
    </row>
    <row r="33">
      <c r="A33" s="10" t="inlineStr">
        <is>
          <t>لوبیا سفید</t>
        </is>
      </c>
      <c r="B33" s="43" t="n">
        <v>0.9</v>
      </c>
      <c r="C33" s="13">
        <f>SUMIFS(Production!$I$4:$I$151,Production!$C$4:$C$151,A33,Production!$H$4:$H$151,B33)</f>
        <v/>
      </c>
      <c r="D33" s="13">
        <f>SUMIFS(Sales!$G$4:$G$151,Sales!$E$4:$E$151,A33,Sales!$F$4:$F$151,B33)</f>
        <v/>
      </c>
      <c r="E33" s="13">
        <f>C33-D33</f>
        <v/>
      </c>
      <c r="F33" s="15" t="inlineStr">
        <is>
          <t>بسته</t>
        </is>
      </c>
    </row>
    <row r="34">
      <c r="A34" s="10" t="inlineStr">
        <is>
          <t>لوبیا سفید</t>
        </is>
      </c>
      <c r="B34" s="43" t="n">
        <v>10</v>
      </c>
      <c r="C34" s="13">
        <f>SUMIFS(Production!$I$4:$I$151,Production!$C$4:$C$151,A34,Production!$H$4:$H$151,B34)</f>
        <v/>
      </c>
      <c r="D34" s="13">
        <f>SUMIFS(Sales!$G$4:$G$151,Sales!$E$4:$E$151,A34,Sales!$F$4:$F$151,B34)</f>
        <v/>
      </c>
      <c r="E34" s="13">
        <f>C34-D34</f>
        <v/>
      </c>
      <c r="F34" s="15" t="inlineStr">
        <is>
          <t>بسته</t>
        </is>
      </c>
    </row>
    <row r="35">
      <c r="A35" s="10" t="inlineStr">
        <is>
          <t>عدس</t>
        </is>
      </c>
      <c r="B35" s="43" t="n">
        <v>0.4</v>
      </c>
      <c r="C35" s="13">
        <f>SUMIFS(Production!$I$4:$I$151,Production!$C$4:$C$151,A35,Production!$H$4:$H$151,B35)</f>
        <v/>
      </c>
      <c r="D35" s="13">
        <f>SUMIFS(Sales!$G$4:$G$151,Sales!$E$4:$E$151,A35,Sales!$F$4:$F$151,B35)</f>
        <v/>
      </c>
      <c r="E35" s="13">
        <f>C35-D35</f>
        <v/>
      </c>
      <c r="F35" s="15" t="inlineStr">
        <is>
          <t>بسته</t>
        </is>
      </c>
    </row>
    <row r="36">
      <c r="A36" s="10" t="inlineStr">
        <is>
          <t>عدس</t>
        </is>
      </c>
      <c r="B36" s="43" t="n">
        <v>0.9</v>
      </c>
      <c r="C36" s="13">
        <f>SUMIFS(Production!$I$4:$I$151,Production!$C$4:$C$151,A36,Production!$H$4:$H$151,B36)</f>
        <v/>
      </c>
      <c r="D36" s="13">
        <f>SUMIFS(Sales!$G$4:$G$151,Sales!$E$4:$E$151,A36,Sales!$F$4:$F$151,B36)</f>
        <v/>
      </c>
      <c r="E36" s="13">
        <f>C36-D36</f>
        <v/>
      </c>
      <c r="F36" s="15" t="inlineStr">
        <is>
          <t>بسته</t>
        </is>
      </c>
    </row>
    <row r="37">
      <c r="A37" s="10" t="inlineStr">
        <is>
          <t>عدس</t>
        </is>
      </c>
      <c r="B37" s="43" t="n">
        <v>10</v>
      </c>
      <c r="C37" s="13">
        <f>SUMIFS(Production!$I$4:$I$151,Production!$C$4:$C$151,A37,Production!$H$4:$H$151,B37)</f>
        <v/>
      </c>
      <c r="D37" s="13">
        <f>SUMIFS(Sales!$G$4:$G$151,Sales!$E$4:$E$151,A37,Sales!$F$4:$F$151,B37)</f>
        <v/>
      </c>
      <c r="E37" s="13">
        <f>C37-D37</f>
        <v/>
      </c>
      <c r="F37" s="15" t="inlineStr">
        <is>
          <t>بسته</t>
        </is>
      </c>
    </row>
    <row r="38">
      <c r="A38" s="10" t="inlineStr">
        <is>
          <t>نخود</t>
        </is>
      </c>
      <c r="B38" s="43" t="n">
        <v>0.4</v>
      </c>
      <c r="C38" s="13">
        <f>SUMIFS(Production!$I$4:$I$151,Production!$C$4:$C$151,A38,Production!$H$4:$H$151,B38)</f>
        <v/>
      </c>
      <c r="D38" s="13">
        <f>SUMIFS(Sales!$G$4:$G$151,Sales!$E$4:$E$151,A38,Sales!$F$4:$F$151,B38)</f>
        <v/>
      </c>
      <c r="E38" s="13">
        <f>C38-D38</f>
        <v/>
      </c>
      <c r="F38" s="15" t="inlineStr">
        <is>
          <t>بسته</t>
        </is>
      </c>
    </row>
    <row r="39">
      <c r="A39" s="10" t="inlineStr">
        <is>
          <t>نخود</t>
        </is>
      </c>
      <c r="B39" s="43" t="n">
        <v>0.9</v>
      </c>
      <c r="C39" s="13">
        <f>SUMIFS(Production!$I$4:$I$151,Production!$C$4:$C$151,A39,Production!$H$4:$H$151,B39)</f>
        <v/>
      </c>
      <c r="D39" s="13">
        <f>SUMIFS(Sales!$G$4:$G$151,Sales!$E$4:$E$151,A39,Sales!$F$4:$F$151,B39)</f>
        <v/>
      </c>
      <c r="E39" s="13">
        <f>C39-D39</f>
        <v/>
      </c>
      <c r="F39" s="15" t="inlineStr">
        <is>
          <t>بسته</t>
        </is>
      </c>
    </row>
    <row r="40">
      <c r="A40" s="10" t="inlineStr">
        <is>
          <t>نخود</t>
        </is>
      </c>
      <c r="B40" s="43" t="n">
        <v>10</v>
      </c>
      <c r="C40" s="13">
        <f>SUMIFS(Production!$I$4:$I$151,Production!$C$4:$C$151,A40,Production!$H$4:$H$151,B40)</f>
        <v/>
      </c>
      <c r="D40" s="13">
        <f>SUMIFS(Sales!$G$4:$G$151,Sales!$E$4:$E$151,A40,Sales!$F$4:$F$151,B40)</f>
        <v/>
      </c>
      <c r="E40" s="13">
        <f>C40-D40</f>
        <v/>
      </c>
      <c r="F40" s="15" t="inlineStr">
        <is>
          <t>بسته</t>
        </is>
      </c>
    </row>
    <row r="41">
      <c r="A41" s="10" t="inlineStr">
        <is>
          <t>لپه</t>
        </is>
      </c>
      <c r="B41" s="43" t="n">
        <v>0.4</v>
      </c>
      <c r="C41" s="13">
        <f>SUMIFS(Production!$I$4:$I$151,Production!$C$4:$C$151,A41,Production!$H$4:$H$151,B41)</f>
        <v/>
      </c>
      <c r="D41" s="13">
        <f>SUMIFS(Sales!$G$4:$G$151,Sales!$E$4:$E$151,A41,Sales!$F$4:$F$151,B41)</f>
        <v/>
      </c>
      <c r="E41" s="13">
        <f>C41-D41</f>
        <v/>
      </c>
      <c r="F41" s="15" t="inlineStr">
        <is>
          <t>بسته</t>
        </is>
      </c>
    </row>
    <row r="42">
      <c r="A42" s="10" t="inlineStr">
        <is>
          <t>لپه</t>
        </is>
      </c>
      <c r="B42" s="43" t="n">
        <v>0.9</v>
      </c>
      <c r="C42" s="13">
        <f>SUMIFS(Production!$I$4:$I$151,Production!$C$4:$C$151,A42,Production!$H$4:$H$151,B42)</f>
        <v/>
      </c>
      <c r="D42" s="13">
        <f>SUMIFS(Sales!$G$4:$G$151,Sales!$E$4:$E$151,A42,Sales!$F$4:$F$151,B42)</f>
        <v/>
      </c>
      <c r="E42" s="13">
        <f>C42-D42</f>
        <v/>
      </c>
      <c r="F42" s="15" t="inlineStr">
        <is>
          <t>بسته</t>
        </is>
      </c>
    </row>
    <row r="43">
      <c r="A43" s="10" t="inlineStr">
        <is>
          <t>لپه</t>
        </is>
      </c>
      <c r="B43" s="43" t="n">
        <v>10</v>
      </c>
      <c r="C43" s="13">
        <f>SUMIFS(Production!$I$4:$I$151,Production!$C$4:$C$151,A43,Production!$H$4:$H$151,B43)</f>
        <v/>
      </c>
      <c r="D43" s="13">
        <f>SUMIFS(Sales!$G$4:$G$151,Sales!$E$4:$E$151,A43,Sales!$F$4:$F$151,B43)</f>
        <v/>
      </c>
      <c r="E43" s="13">
        <f>C43-D43</f>
        <v/>
      </c>
      <c r="F43" s="15" t="inlineStr">
        <is>
          <t>بسته</t>
        </is>
      </c>
    </row>
    <row r="44">
      <c r="A44" s="10" t="inlineStr">
        <is>
          <t>ماش</t>
        </is>
      </c>
      <c r="B44" s="43" t="n">
        <v>0.4</v>
      </c>
      <c r="C44" s="13">
        <f>SUMIFS(Production!$I$4:$I$151,Production!$C$4:$C$151,A44,Production!$H$4:$H$151,B44)</f>
        <v/>
      </c>
      <c r="D44" s="13">
        <f>SUMIFS(Sales!$G$4:$G$151,Sales!$E$4:$E$151,A44,Sales!$F$4:$F$151,B44)</f>
        <v/>
      </c>
      <c r="E44" s="13">
        <f>C44-D44</f>
        <v/>
      </c>
      <c r="F44" s="15" t="inlineStr">
        <is>
          <t>بسته</t>
        </is>
      </c>
    </row>
    <row r="45">
      <c r="A45" s="10" t="inlineStr">
        <is>
          <t>ماش</t>
        </is>
      </c>
      <c r="B45" s="43" t="n">
        <v>0.9</v>
      </c>
      <c r="C45" s="13">
        <f>SUMIFS(Production!$I$4:$I$151,Production!$C$4:$C$151,A45,Production!$H$4:$H$151,B45)</f>
        <v/>
      </c>
      <c r="D45" s="13">
        <f>SUMIFS(Sales!$G$4:$G$151,Sales!$E$4:$E$151,A45,Sales!$F$4:$F$151,B45)</f>
        <v/>
      </c>
      <c r="E45" s="13">
        <f>C45-D45</f>
        <v/>
      </c>
      <c r="F45" s="15" t="inlineStr">
        <is>
          <t>بسته</t>
        </is>
      </c>
    </row>
    <row r="46">
      <c r="A46" s="10" t="inlineStr">
        <is>
          <t>ماش</t>
        </is>
      </c>
      <c r="B46" s="43" t="n">
        <v>10</v>
      </c>
      <c r="C46" s="13">
        <f>SUMIFS(Production!$I$4:$I$151,Production!$C$4:$C$151,A46,Production!$H$4:$H$151,B46)</f>
        <v/>
      </c>
      <c r="D46" s="13">
        <f>SUMIFS(Sales!$G$4:$G$151,Sales!$E$4:$E$151,A46,Sales!$F$4:$F$151,B46)</f>
        <v/>
      </c>
      <c r="E46" s="13">
        <f>C46-D46</f>
        <v/>
      </c>
      <c r="F46" s="15" t="inlineStr">
        <is>
          <t>بسته</t>
        </is>
      </c>
    </row>
    <row r="47">
      <c r="A47" s="3" t="inlineStr">
        <is>
          <t>ج) دفتر حرکات دستی انبار (شمارش، ضایعات انبار، اصلاح)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44" t="inlineStr">
        <is>
          <t>خرید و فروش را اینجا ننویسید. فقط وقتی شمارش با سیستم فرق دارد یا ضایعات انبار رخ داده.</t>
        </is>
      </c>
    </row>
    <row r="49">
      <c r="A49" s="3" t="inlineStr">
        <is>
          <t>تاریخ شمسی</t>
        </is>
      </c>
      <c r="B49" s="3" t="inlineStr">
        <is>
          <t>نوع موجودی</t>
        </is>
      </c>
      <c r="C49" s="3" t="inlineStr">
        <is>
          <t>محصول</t>
        </is>
      </c>
      <c r="D49" s="3" t="inlineStr">
        <is>
          <t>ورود</t>
        </is>
      </c>
      <c r="E49" s="3" t="inlineStr">
        <is>
          <t>خروج</t>
        </is>
      </c>
      <c r="F49" s="3" t="inlineStr">
        <is>
          <t>موجودی این کالا (دفتر)</t>
        </is>
      </c>
      <c r="G49" s="3" t="inlineStr">
        <is>
          <t>واحد</t>
        </is>
      </c>
      <c r="H49" s="3" t="inlineStr">
        <is>
          <t>محل / علت</t>
        </is>
      </c>
    </row>
    <row r="50">
      <c r="A50" s="29" t="inlineStr">
        <is>
          <t>1405/06/09</t>
        </is>
      </c>
      <c r="B50" s="29" t="inlineStr">
        <is>
          <t>مواد اولیه</t>
        </is>
      </c>
      <c r="C50" s="29" t="inlineStr">
        <is>
          <t>عدس</t>
        </is>
      </c>
      <c r="D50" s="41" t="n">
        <v>0</v>
      </c>
      <c r="E50" s="41" t="n">
        <v>2.5</v>
      </c>
      <c r="F50" s="17">
        <f>IF(C50="","",SUMIFS($D$50:D50,$C$50:C50,C50,$B$50:B50,B50)-SUMIFS($E$50:E50,$C$50:C50,C50,$B$50:B50,B50))</f>
        <v/>
      </c>
      <c r="G50" s="29" t="inlineStr">
        <is>
          <t>کیلوگرم</t>
        </is>
      </c>
      <c r="H50" s="29" t="inlineStr">
        <is>
          <t>سالن تولید — نمونه کنترل کیفیت</t>
        </is>
      </c>
    </row>
    <row r="51">
      <c r="A51" s="29" t="inlineStr">
        <is>
          <t>1405/06/13</t>
        </is>
      </c>
      <c r="B51" s="29" t="inlineStr">
        <is>
          <t>محصول نهایی</t>
        </is>
      </c>
      <c r="C51" s="29" t="inlineStr">
        <is>
          <t>لوبیا چیتی</t>
        </is>
      </c>
      <c r="D51" s="41" t="n">
        <v>0</v>
      </c>
      <c r="E51" s="41" t="n">
        <v>1</v>
      </c>
      <c r="F51" s="17">
        <f>IF(C51="","",SUMIFS($D$50:D51,$C$50:C51,C51,$B$50:B51,B51)-SUMIFS($E$50:E51,$C$50:C51,C51,$B$50:B51,B51))</f>
        <v/>
      </c>
      <c r="G51" s="29" t="inlineStr">
        <is>
          <t>کیلوگرم</t>
        </is>
      </c>
      <c r="H51" s="29" t="inlineStr">
        <is>
          <t>انبار محصول نهایی — پارگی بسته — ضایعات</t>
        </is>
      </c>
    </row>
    <row r="52">
      <c r="A52" s="29" t="n"/>
      <c r="B52" s="29" t="n"/>
      <c r="C52" s="29" t="n"/>
      <c r="D52" s="41" t="n"/>
      <c r="E52" s="41" t="n"/>
      <c r="F52" s="17">
        <f>IF(C52="","",SUMIFS($D$50:D52,$C$50:C52,C52,$B$50:B52,B52)-SUMIFS($E$50:E52,$C$50:C52,C52,$B$50:B52,B52))</f>
        <v/>
      </c>
      <c r="G52" s="29" t="n"/>
      <c r="H52" s="29" t="n"/>
    </row>
    <row r="53">
      <c r="A53" s="29" t="n"/>
      <c r="B53" s="29" t="n"/>
      <c r="C53" s="29" t="n"/>
      <c r="D53" s="41" t="n"/>
      <c r="E53" s="41" t="n"/>
      <c r="F53" s="17">
        <f>IF(C53="","",SUMIFS($D$50:D53,$C$50:C53,C53,$B$50:B53,B53)-SUMIFS($E$50:E53,$C$50:C53,C53,$B$50:B53,B53))</f>
        <v/>
      </c>
      <c r="G53" s="29" t="n"/>
      <c r="H53" s="29" t="n"/>
    </row>
    <row r="54">
      <c r="A54" s="29" t="n"/>
      <c r="B54" s="29" t="n"/>
      <c r="C54" s="29" t="n"/>
      <c r="D54" s="41" t="n"/>
      <c r="E54" s="41" t="n"/>
      <c r="F54" s="17">
        <f>IF(C54="","",SUMIFS($D$50:D54,$C$50:C54,C54,$B$50:B54,B54)-SUMIFS($E$50:E54,$C$50:C54,C54,$B$50:B54,B54))</f>
        <v/>
      </c>
      <c r="G54" s="29" t="n"/>
      <c r="H54" s="29" t="n"/>
    </row>
    <row r="55">
      <c r="A55" s="29" t="n"/>
      <c r="B55" s="29" t="n"/>
      <c r="C55" s="29" t="n"/>
      <c r="D55" s="41" t="n"/>
      <c r="E55" s="41" t="n"/>
      <c r="F55" s="17">
        <f>IF(C55="","",SUMIFS($D$50:D55,$C$50:C55,C55,$B$50:B55,B55)-SUMIFS($E$50:E55,$C$50:C55,C55,$B$50:B55,B55))</f>
        <v/>
      </c>
      <c r="G55" s="29" t="n"/>
      <c r="H55" s="29" t="n"/>
    </row>
    <row r="56">
      <c r="A56" s="29" t="n"/>
      <c r="B56" s="29" t="n"/>
      <c r="C56" s="29" t="n"/>
      <c r="D56" s="41" t="n"/>
      <c r="E56" s="41" t="n"/>
      <c r="F56" s="17">
        <f>IF(C56="","",SUMIFS($D$50:D56,$C$50:C56,C56,$B$50:B56,B56)-SUMIFS($E$50:E56,$C$50:C56,C56,$B$50:B56,B56))</f>
        <v/>
      </c>
      <c r="G56" s="29" t="n"/>
      <c r="H56" s="29" t="n"/>
    </row>
    <row r="57">
      <c r="A57" s="29" t="n"/>
      <c r="B57" s="29" t="n"/>
      <c r="C57" s="29" t="n"/>
      <c r="D57" s="41" t="n"/>
      <c r="E57" s="41" t="n"/>
      <c r="F57" s="17">
        <f>IF(C57="","",SUMIFS($D$50:D57,$C$50:C57,C57,$B$50:B57,B57)-SUMIFS($E$50:E57,$C$50:C57,C57,$B$50:B57,B57))</f>
        <v/>
      </c>
      <c r="G57" s="29" t="n"/>
      <c r="H57" s="29" t="n"/>
    </row>
    <row r="58">
      <c r="A58" s="29" t="n"/>
      <c r="B58" s="29" t="n"/>
      <c r="C58" s="29" t="n"/>
      <c r="D58" s="41" t="n"/>
      <c r="E58" s="41" t="n"/>
      <c r="F58" s="17">
        <f>IF(C58="","",SUMIFS($D$50:D58,$C$50:C58,C58,$B$50:B58,B58)-SUMIFS($E$50:E58,$C$50:C58,C58,$B$50:B58,B58))</f>
        <v/>
      </c>
      <c r="G58" s="29" t="n"/>
      <c r="H58" s="29" t="n"/>
    </row>
    <row r="59">
      <c r="A59" s="29" t="n"/>
      <c r="B59" s="29" t="n"/>
      <c r="C59" s="29" t="n"/>
      <c r="D59" s="41" t="n"/>
      <c r="E59" s="41" t="n"/>
      <c r="F59" s="17">
        <f>IF(C59="","",SUMIFS($D$50:D59,$C$50:C59,C59,$B$50:B59,B59)-SUMIFS($E$50:E59,$C$50:C59,C59,$B$50:B59,B59))</f>
        <v/>
      </c>
      <c r="G59" s="29" t="n"/>
      <c r="H59" s="29" t="n"/>
    </row>
    <row r="60">
      <c r="A60" s="29" t="n"/>
      <c r="B60" s="29" t="n"/>
      <c r="C60" s="29" t="n"/>
      <c r="D60" s="41" t="n"/>
      <c r="E60" s="41" t="n"/>
      <c r="F60" s="17">
        <f>IF(C60="","",SUMIFS($D$50:D60,$C$50:C60,C60,$B$50:B60,B60)-SUMIFS($E$50:E60,$C$50:C60,C60,$B$50:B60,B60))</f>
        <v/>
      </c>
      <c r="G60" s="29" t="n"/>
      <c r="H60" s="29" t="n"/>
    </row>
    <row r="61">
      <c r="A61" s="29" t="n"/>
      <c r="B61" s="29" t="n"/>
      <c r="C61" s="29" t="n"/>
      <c r="D61" s="41" t="n"/>
      <c r="E61" s="41" t="n"/>
      <c r="F61" s="17">
        <f>IF(C61="","",SUMIFS($D$50:D61,$C$50:C61,C61,$B$50:B61,B61)-SUMIFS($E$50:E61,$C$50:C61,C61,$B$50:B61,B61))</f>
        <v/>
      </c>
      <c r="G61" s="29" t="n"/>
      <c r="H61" s="29" t="n"/>
    </row>
    <row r="62">
      <c r="A62" s="29" t="n"/>
      <c r="B62" s="29" t="n"/>
      <c r="C62" s="29" t="n"/>
      <c r="D62" s="41" t="n"/>
      <c r="E62" s="41" t="n"/>
      <c r="F62" s="17">
        <f>IF(C62="","",SUMIFS($D$50:D62,$C$50:C62,C62,$B$50:B62,B62)-SUMIFS($E$50:E62,$C$50:C62,C62,$B$50:B62,B62))</f>
        <v/>
      </c>
      <c r="G62" s="29" t="n"/>
      <c r="H62" s="29" t="n"/>
    </row>
    <row r="63">
      <c r="A63" s="29" t="n"/>
      <c r="B63" s="29" t="n"/>
      <c r="C63" s="29" t="n"/>
      <c r="D63" s="41" t="n"/>
      <c r="E63" s="41" t="n"/>
      <c r="F63" s="17">
        <f>IF(C63="","",SUMIFS($D$50:D63,$C$50:C63,C63,$B$50:B63,B63)-SUMIFS($E$50:E63,$C$50:C63,C63,$B$50:B63,B63))</f>
        <v/>
      </c>
      <c r="G63" s="29" t="n"/>
      <c r="H63" s="29" t="n"/>
    </row>
    <row r="64">
      <c r="A64" s="29" t="n"/>
      <c r="B64" s="29" t="n"/>
      <c r="C64" s="29" t="n"/>
      <c r="D64" s="41" t="n"/>
      <c r="E64" s="41" t="n"/>
      <c r="F64" s="17">
        <f>IF(C64="","",SUMIFS($D$50:D64,$C$50:C64,C64,$B$50:B64,B64)-SUMIFS($E$50:E64,$C$50:C64,C64,$B$50:B64,B64))</f>
        <v/>
      </c>
      <c r="G64" s="29" t="n"/>
      <c r="H64" s="29" t="n"/>
    </row>
    <row r="65">
      <c r="A65" s="29" t="n"/>
      <c r="B65" s="29" t="n"/>
      <c r="C65" s="29" t="n"/>
      <c r="D65" s="41" t="n"/>
      <c r="E65" s="41" t="n"/>
      <c r="F65" s="17">
        <f>IF(C65="","",SUMIFS($D$50:D65,$C$50:C65,C65,$B$50:B65,B65)-SUMIFS($E$50:E65,$C$50:C65,C65,$B$50:B65,B65))</f>
        <v/>
      </c>
      <c r="G65" s="29" t="n"/>
      <c r="H65" s="29" t="n"/>
    </row>
    <row r="66">
      <c r="A66" s="29" t="n"/>
      <c r="B66" s="29" t="n"/>
      <c r="C66" s="29" t="n"/>
      <c r="D66" s="41" t="n"/>
      <c r="E66" s="41" t="n"/>
      <c r="F66" s="17">
        <f>IF(C66="","",SUMIFS($D$50:D66,$C$50:C66,C66,$B$50:B66,B66)-SUMIFS($E$50:E66,$C$50:C66,C66,$B$50:B66,B66))</f>
        <v/>
      </c>
      <c r="G66" s="29" t="n"/>
      <c r="H66" s="29" t="n"/>
    </row>
    <row r="67">
      <c r="A67" s="29" t="n"/>
      <c r="B67" s="29" t="n"/>
      <c r="C67" s="29" t="n"/>
      <c r="D67" s="41" t="n"/>
      <c r="E67" s="41" t="n"/>
      <c r="F67" s="17">
        <f>IF(C67="","",SUMIFS($D$50:D67,$C$50:C67,C67,$B$50:B67,B67)-SUMIFS($E$50:E67,$C$50:C67,C67,$B$50:B67,B67))</f>
        <v/>
      </c>
      <c r="G67" s="29" t="n"/>
      <c r="H67" s="29" t="n"/>
    </row>
    <row r="68">
      <c r="A68" s="29" t="n"/>
      <c r="B68" s="29" t="n"/>
      <c r="C68" s="29" t="n"/>
      <c r="D68" s="41" t="n"/>
      <c r="E68" s="41" t="n"/>
      <c r="F68" s="17">
        <f>IF(C68="","",SUMIFS($D$50:D68,$C$50:C68,C68,$B$50:B68,B68)-SUMIFS($E$50:E68,$C$50:C68,C68,$B$50:B68,B68))</f>
        <v/>
      </c>
      <c r="G68" s="29" t="n"/>
      <c r="H68" s="29" t="n"/>
    </row>
    <row r="69">
      <c r="A69" s="29" t="n"/>
      <c r="B69" s="29" t="n"/>
      <c r="C69" s="29" t="n"/>
      <c r="D69" s="41" t="n"/>
      <c r="E69" s="41" t="n"/>
      <c r="F69" s="17">
        <f>IF(C69="","",SUMIFS($D$50:D69,$C$50:C69,C69,$B$50:B69,B69)-SUMIFS($E$50:E69,$C$50:C69,C69,$B$50:B69,B69))</f>
        <v/>
      </c>
      <c r="G69" s="29" t="n"/>
      <c r="H69" s="29" t="n"/>
    </row>
    <row r="70">
      <c r="A70" s="29" t="n"/>
      <c r="B70" s="29" t="n"/>
      <c r="C70" s="29" t="n"/>
      <c r="D70" s="41" t="n"/>
      <c r="E70" s="41" t="n"/>
      <c r="F70" s="17">
        <f>IF(C70="","",SUMIFS($D$50:D70,$C$50:C70,C70,$B$50:B70,B70)-SUMIFS($E$50:E70,$C$50:C70,C70,$B$50:B70,B70))</f>
        <v/>
      </c>
      <c r="G70" s="29" t="n"/>
      <c r="H70" s="29" t="n"/>
    </row>
    <row r="71">
      <c r="A71" s="29" t="n"/>
      <c r="B71" s="29" t="n"/>
      <c r="C71" s="29" t="n"/>
      <c r="D71" s="41" t="n"/>
      <c r="E71" s="41" t="n"/>
      <c r="F71" s="17">
        <f>IF(C71="","",SUMIFS($D$50:D71,$C$50:C71,C71,$B$50:B71,B71)-SUMIFS($E$50:E71,$C$50:C71,C71,$B$50:B71,B71))</f>
        <v/>
      </c>
      <c r="G71" s="29" t="n"/>
      <c r="H71" s="29" t="n"/>
    </row>
    <row r="72">
      <c r="A72" s="29" t="n"/>
      <c r="B72" s="29" t="n"/>
      <c r="C72" s="29" t="n"/>
      <c r="D72" s="41" t="n"/>
      <c r="E72" s="41" t="n"/>
      <c r="F72" s="17">
        <f>IF(C72="","",SUMIFS($D$50:D72,$C$50:C72,C72,$B$50:B72,B72)-SUMIFS($E$50:E72,$C$50:C72,C72,$B$50:B72,B72))</f>
        <v/>
      </c>
      <c r="G72" s="29" t="n"/>
      <c r="H72" s="29" t="n"/>
    </row>
    <row r="73">
      <c r="A73" s="29" t="n"/>
      <c r="B73" s="29" t="n"/>
      <c r="C73" s="29" t="n"/>
      <c r="D73" s="41" t="n"/>
      <c r="E73" s="41" t="n"/>
      <c r="F73" s="17">
        <f>IF(C73="","",SUMIFS($D$50:D73,$C$50:C73,C73,$B$50:B73,B73)-SUMIFS($E$50:E73,$C$50:C73,C73,$B$50:B73,B73))</f>
        <v/>
      </c>
      <c r="G73" s="29" t="n"/>
      <c r="H73" s="29" t="n"/>
    </row>
    <row r="74">
      <c r="A74" s="29" t="n"/>
      <c r="B74" s="29" t="n"/>
      <c r="C74" s="29" t="n"/>
      <c r="D74" s="41" t="n"/>
      <c r="E74" s="41" t="n"/>
      <c r="F74" s="17">
        <f>IF(C74="","",SUMIFS($D$50:D74,$C$50:C74,C74,$B$50:B74,B74)-SUMIFS($E$50:E74,$C$50:C74,C74,$B$50:B74,B74))</f>
        <v/>
      </c>
      <c r="G74" s="29" t="n"/>
      <c r="H74" s="29" t="n"/>
    </row>
    <row r="75">
      <c r="A75" s="29" t="n"/>
      <c r="B75" s="29" t="n"/>
      <c r="C75" s="29" t="n"/>
      <c r="D75" s="41" t="n"/>
      <c r="E75" s="41" t="n"/>
      <c r="F75" s="17">
        <f>IF(C75="","",SUMIFS($D$50:D75,$C$50:C75,C75,$B$50:B75,B75)-SUMIFS($E$50:E75,$C$50:C75,C75,$B$50:B75,B75))</f>
        <v/>
      </c>
      <c r="G75" s="29" t="n"/>
      <c r="H75" s="29" t="n"/>
    </row>
    <row r="76">
      <c r="A76" s="29" t="n"/>
      <c r="B76" s="29" t="n"/>
      <c r="C76" s="29" t="n"/>
      <c r="D76" s="41" t="n"/>
      <c r="E76" s="41" t="n"/>
      <c r="F76" s="17">
        <f>IF(C76="","",SUMIFS($D$50:D76,$C$50:C76,C76,$B$50:B76,B76)-SUMIFS($E$50:E76,$C$50:C76,C76,$B$50:B76,B76))</f>
        <v/>
      </c>
      <c r="G76" s="29" t="n"/>
      <c r="H76" s="29" t="n"/>
    </row>
    <row r="77">
      <c r="A77" s="29" t="n"/>
      <c r="B77" s="29" t="n"/>
      <c r="C77" s="29" t="n"/>
      <c r="D77" s="41" t="n"/>
      <c r="E77" s="41" t="n"/>
      <c r="F77" s="17">
        <f>IF(C77="","",SUMIFS($D$50:D77,$C$50:C77,C77,$B$50:B77,B77)-SUMIFS($E$50:E77,$C$50:C77,C77,$B$50:B77,B77))</f>
        <v/>
      </c>
      <c r="G77" s="29" t="n"/>
      <c r="H77" s="29" t="n"/>
    </row>
    <row r="78">
      <c r="A78" s="29" t="n"/>
      <c r="B78" s="29" t="n"/>
      <c r="C78" s="29" t="n"/>
      <c r="D78" s="41" t="n"/>
      <c r="E78" s="41" t="n"/>
      <c r="F78" s="17">
        <f>IF(C78="","",SUMIFS($D$50:D78,$C$50:C78,C78,$B$50:B78,B78)-SUMIFS($E$50:E78,$C$50:C78,C78,$B$50:B78,B78))</f>
        <v/>
      </c>
      <c r="G78" s="29" t="n"/>
      <c r="H78" s="29" t="n"/>
    </row>
    <row r="79">
      <c r="A79" s="29" t="n"/>
      <c r="B79" s="29" t="n"/>
      <c r="C79" s="29" t="n"/>
      <c r="D79" s="41" t="n"/>
      <c r="E79" s="41" t="n"/>
      <c r="F79" s="17">
        <f>IF(C79="","",SUMIFS($D$50:D79,$C$50:C79,C79,$B$50:B79,B79)-SUMIFS($E$50:E79,$C$50:C79,C79,$B$50:B79,B79))</f>
        <v/>
      </c>
      <c r="G79" s="29" t="n"/>
      <c r="H79" s="29" t="n"/>
    </row>
    <row r="80">
      <c r="A80" s="29" t="n"/>
      <c r="B80" s="29" t="n"/>
      <c r="C80" s="29" t="n"/>
      <c r="D80" s="41" t="n"/>
      <c r="E80" s="41" t="n"/>
      <c r="F80" s="17">
        <f>IF(C80="","",SUMIFS($D$50:D80,$C$50:C80,C80,$B$50:B80,B80)-SUMIFS($E$50:E80,$C$50:C80,C80,$B$50:B80,B80))</f>
        <v/>
      </c>
      <c r="G80" s="29" t="n"/>
      <c r="H80" s="29" t="n"/>
    </row>
    <row r="81">
      <c r="A81" s="29" t="n"/>
      <c r="B81" s="29" t="n"/>
      <c r="C81" s="29" t="n"/>
      <c r="D81" s="41" t="n"/>
      <c r="E81" s="41" t="n"/>
      <c r="F81" s="17">
        <f>IF(C81="","",SUMIFS($D$50:D81,$C$50:C81,C81,$B$50:B81,B81)-SUMIFS($E$50:E81,$C$50:C81,C81,$B$50:B81,B81))</f>
        <v/>
      </c>
      <c r="G81" s="29" t="n"/>
      <c r="H81" s="29" t="n"/>
    </row>
    <row r="82">
      <c r="A82" s="29" t="n"/>
      <c r="B82" s="29" t="n"/>
      <c r="C82" s="29" t="n"/>
      <c r="D82" s="41" t="n"/>
      <c r="E82" s="41" t="n"/>
      <c r="F82" s="17">
        <f>IF(C82="","",SUMIFS($D$50:D82,$C$50:C82,C82,$B$50:B82,B82)-SUMIFS($E$50:E82,$C$50:C82,C82,$B$50:B82,B82))</f>
        <v/>
      </c>
      <c r="G82" s="29" t="n"/>
      <c r="H82" s="29" t="n"/>
    </row>
    <row r="83">
      <c r="A83" s="29" t="n"/>
      <c r="B83" s="29" t="n"/>
      <c r="C83" s="29" t="n"/>
      <c r="D83" s="41" t="n"/>
      <c r="E83" s="41" t="n"/>
      <c r="F83" s="17">
        <f>IF(C83="","",SUMIFS($D$50:D83,$C$50:C83,C83,$B$50:B83,B83)-SUMIFS($E$50:E83,$C$50:C83,C83,$B$50:B83,B83))</f>
        <v/>
      </c>
      <c r="G83" s="29" t="n"/>
      <c r="H83" s="29" t="n"/>
    </row>
    <row r="84">
      <c r="A84" s="29" t="n"/>
      <c r="B84" s="29" t="n"/>
      <c r="C84" s="29" t="n"/>
      <c r="D84" s="41" t="n"/>
      <c r="E84" s="41" t="n"/>
      <c r="F84" s="17">
        <f>IF(C84="","",SUMIFS($D$50:D84,$C$50:C84,C84,$B$50:B84,B84)-SUMIFS($E$50:E84,$C$50:C84,C84,$B$50:B84,B84))</f>
        <v/>
      </c>
      <c r="G84" s="29" t="n"/>
      <c r="H84" s="29" t="n"/>
    </row>
    <row r="85">
      <c r="A85" s="29" t="n"/>
      <c r="B85" s="29" t="n"/>
      <c r="C85" s="29" t="n"/>
      <c r="D85" s="41" t="n"/>
      <c r="E85" s="41" t="n"/>
      <c r="F85" s="17">
        <f>IF(C85="","",SUMIFS($D$50:D85,$C$50:C85,C85,$B$50:B85,B85)-SUMIFS($E$50:E85,$C$50:C85,C85,$B$50:B85,B85))</f>
        <v/>
      </c>
      <c r="G85" s="29" t="n"/>
      <c r="H85" s="29" t="n"/>
    </row>
    <row r="86">
      <c r="A86" s="29" t="n"/>
      <c r="B86" s="29" t="n"/>
      <c r="C86" s="29" t="n"/>
      <c r="D86" s="41" t="n"/>
      <c r="E86" s="41" t="n"/>
      <c r="F86" s="17">
        <f>IF(C86="","",SUMIFS($D$50:D86,$C$50:C86,C86,$B$50:B86,B86)-SUMIFS($E$50:E86,$C$50:C86,C86,$B$50:B86,B86))</f>
        <v/>
      </c>
      <c r="G86" s="29" t="n"/>
      <c r="H86" s="29" t="n"/>
    </row>
    <row r="87">
      <c r="A87" s="29" t="n"/>
      <c r="B87" s="29" t="n"/>
      <c r="C87" s="29" t="n"/>
      <c r="D87" s="41" t="n"/>
      <c r="E87" s="41" t="n"/>
      <c r="F87" s="17">
        <f>IF(C87="","",SUMIFS($D$50:D87,$C$50:C87,C87,$B$50:B87,B87)-SUMIFS($E$50:E87,$C$50:C87,C87,$B$50:B87,B87))</f>
        <v/>
      </c>
      <c r="G87" s="29" t="n"/>
      <c r="H87" s="29" t="n"/>
    </row>
    <row r="88">
      <c r="A88" s="29" t="n"/>
      <c r="B88" s="29" t="n"/>
      <c r="C88" s="29" t="n"/>
      <c r="D88" s="41" t="n"/>
      <c r="E88" s="41" t="n"/>
      <c r="F88" s="17">
        <f>IF(C88="","",SUMIFS($D$50:D88,$C$50:C88,C88,$B$50:B88,B88)-SUMIFS($E$50:E88,$C$50:C88,C88,$B$50:B88,B88))</f>
        <v/>
      </c>
      <c r="G88" s="29" t="n"/>
      <c r="H88" s="29" t="n"/>
    </row>
    <row r="89">
      <c r="A89" s="29" t="n"/>
      <c r="B89" s="29" t="n"/>
      <c r="C89" s="29" t="n"/>
      <c r="D89" s="41" t="n"/>
      <c r="E89" s="41" t="n"/>
      <c r="F89" s="17">
        <f>IF(C89="","",SUMIFS($D$50:D89,$C$50:C89,C89,$B$50:B89,B89)-SUMIFS($E$50:E89,$C$50:C89,C89,$B$50:B89,B89))</f>
        <v/>
      </c>
      <c r="G89" s="29" t="n"/>
      <c r="H89" s="2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7">
    <mergeCell ref="A12:H12"/>
    <mergeCell ref="A48:H48"/>
    <mergeCell ref="A3:H3"/>
    <mergeCell ref="A24:H24"/>
    <mergeCell ref="A2:H2"/>
    <mergeCell ref="A47:H47"/>
    <mergeCell ref="A1:H1"/>
  </mergeCells>
  <conditionalFormatting sqref="F5:F11">
    <cfRule type="cellIs" priority="1" operator="equal" dxfId="3">
      <formula>"مطلوب"</formula>
    </cfRule>
    <cfRule type="cellIs" priority="2" operator="equal" dxfId="4">
      <formula>"نیاز به بررسی"</formula>
    </cfRule>
    <cfRule type="cellIs" priority="3" operator="equal" dxfId="5">
      <formula>"بحرانی"</formula>
    </cfRule>
  </conditionalFormatting>
  <conditionalFormatting sqref="F14:F20">
    <cfRule type="cellIs" priority="4" operator="equal" dxfId="3">
      <formula>"مطلوب"</formula>
    </cfRule>
    <cfRule type="cellIs" priority="5" operator="equal" dxfId="4">
      <formula>"نیاز به بررسی"</formula>
    </cfRule>
    <cfRule type="cellIs" priority="6" operator="equal" dxfId="5">
      <formula>"بحرانی"</formula>
    </cfRule>
  </conditionalFormatting>
  <dataValidations count="4">
    <dataValidation sqref="A50:A89" showDropDown="0" showInputMessage="0" showErrorMessage="0" allowBlank="1" type="custom">
      <formula1>AND(LEN(A50)=10,MID(A50,5,1)="/",MID(A50,8,1)="/")</formula1>
    </dataValidation>
    <dataValidation sqref="B50:B89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=InvKindList</formula1>
    </dataValidation>
    <dataValidation sqref="C50:C89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=ProductsList</formula1>
    </dataValidation>
    <dataValidation sqref="G50:G89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=UnitList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N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26" customWidth="1" min="12" max="12"/>
    <col width="8" customWidth="1" min="13" max="13"/>
    <col width="8" customWidth="1" min="14" max="14"/>
  </cols>
  <sheetData>
    <row r="1" ht="28" customHeight="1">
      <c r="A1" s="1" t="inlineStr">
        <is>
          <t>تولید و بسته‌بندی</t>
        </is>
      </c>
    </row>
    <row r="2" ht="20" customHeight="1">
      <c r="A2" s="22" t="inlineStr">
        <is>
          <t>ورود: تاریخ، نوع، مقدار ورودی، مقدار پاک‌شده، وزن بسته، اپراتور | ضایعات، درصد، تعداد بسته و خطای وزن خودکار است</t>
        </is>
      </c>
    </row>
    <row r="3" ht="28" customHeight="1">
      <c r="A3" s="3" t="inlineStr">
        <is>
          <t>ردیف</t>
        </is>
      </c>
      <c r="B3" s="3" t="inlineStr">
        <is>
          <t>تاریخ شمسی</t>
        </is>
      </c>
      <c r="C3" s="3" t="inlineStr">
        <is>
          <t>نوع حبوبات</t>
        </is>
      </c>
      <c r="D3" s="3" t="inlineStr">
        <is>
          <t>مقدار ورودی (کیلو)</t>
        </is>
      </c>
      <c r="E3" s="3" t="inlineStr">
        <is>
          <t>مقدار پاک‌شده (کیلو)</t>
        </is>
      </c>
      <c r="F3" s="3" t="inlineStr">
        <is>
          <t>مقدار ضایعات</t>
        </is>
      </c>
      <c r="G3" s="3" t="inlineStr">
        <is>
          <t>درصد ضایعات</t>
        </is>
      </c>
      <c r="H3" s="3" t="inlineStr">
        <is>
          <t>وزن بسته (کیلو)</t>
        </is>
      </c>
      <c r="I3" s="3" t="inlineStr">
        <is>
          <t>تعداد بسته</t>
        </is>
      </c>
      <c r="J3" s="3" t="inlineStr">
        <is>
          <t>خطای وزن (کیلو)</t>
        </is>
      </c>
      <c r="K3" s="3" t="inlineStr">
        <is>
          <t>اپراتور</t>
        </is>
      </c>
      <c r="L3" s="3" t="inlineStr">
        <is>
          <t>توضیحات</t>
        </is>
      </c>
      <c r="M3" s="3" t="inlineStr">
        <is>
          <t>سال</t>
        </is>
      </c>
      <c r="N3" s="3" t="inlineStr">
        <is>
          <t>ماه</t>
        </is>
      </c>
    </row>
    <row r="4" ht="20" customHeight="1">
      <c r="A4" s="21">
        <f>IF(B4="","",ROW()-3)</f>
        <v/>
      </c>
      <c r="B4" s="29" t="inlineStr">
        <is>
          <t>1405/05/22</t>
        </is>
      </c>
      <c r="C4" s="29" t="inlineStr">
        <is>
          <t>لوبیا چیتی</t>
        </is>
      </c>
      <c r="D4" s="41" t="n">
        <v>80</v>
      </c>
      <c r="E4" s="41" t="n">
        <v>77.2</v>
      </c>
      <c r="F4" s="17">
        <f>IF(OR(D4="",E4=""),"",D4-E4)</f>
        <v/>
      </c>
      <c r="G4" s="19">
        <f>IF(OR(D4="",D4=0),"",F4/D4)</f>
        <v/>
      </c>
      <c r="H4" s="33" t="n">
        <v>0.9</v>
      </c>
      <c r="I4" s="13">
        <f>IF(OR(E4="",H4="",H4=0),"",INT(E4/H4))</f>
        <v/>
      </c>
      <c r="J4" s="17">
        <f>IF(OR(E4="",H4="",I4=""),"",E4-I4*H4)</f>
        <v/>
      </c>
      <c r="K4" s="29" t="inlineStr">
        <is>
          <t>مسئول بسته‌بندی</t>
        </is>
      </c>
      <c r="L4" s="29" t="inlineStr"/>
      <c r="M4" s="21">
        <f>IF(B4="","",VALUE(LEFT(B4,4)))</f>
        <v/>
      </c>
      <c r="N4" s="21">
        <f>IF(B4="","",VALUE(MID(B4,6,2)))</f>
        <v/>
      </c>
    </row>
    <row r="5" ht="20" customHeight="1">
      <c r="A5" s="21">
        <f>IF(B5="","",ROW()-3)</f>
        <v/>
      </c>
      <c r="B5" s="29" t="inlineStr">
        <is>
          <t>1405/05/25</t>
        </is>
      </c>
      <c r="C5" s="29" t="inlineStr">
        <is>
          <t>عدس</t>
        </is>
      </c>
      <c r="D5" s="41" t="n">
        <v>40</v>
      </c>
      <c r="E5" s="41" t="n">
        <v>38.4</v>
      </c>
      <c r="F5" s="17">
        <f>IF(OR(D5="",E5=""),"",D5-E5)</f>
        <v/>
      </c>
      <c r="G5" s="19">
        <f>IF(OR(D5="",D5=0),"",F5/D5)</f>
        <v/>
      </c>
      <c r="H5" s="33" t="n">
        <v>0.4</v>
      </c>
      <c r="I5" s="13">
        <f>IF(OR(E5="",H5="",H5=0),"",INT(E5/H5))</f>
        <v/>
      </c>
      <c r="J5" s="17">
        <f>IF(OR(E5="",H5="",I5=""),"",E5-I5*H5)</f>
        <v/>
      </c>
      <c r="K5" s="29" t="inlineStr">
        <is>
          <t>مسئول بسته‌بندی</t>
        </is>
      </c>
      <c r="L5" s="29" t="inlineStr"/>
      <c r="M5" s="21">
        <f>IF(B5="","",VALUE(LEFT(B5,4)))</f>
        <v/>
      </c>
      <c r="N5" s="21">
        <f>IF(B5="","",VALUE(MID(B5,6,2)))</f>
        <v/>
      </c>
    </row>
    <row r="6" ht="20" customHeight="1">
      <c r="A6" s="21">
        <f>IF(B6="","",ROW()-3)</f>
        <v/>
      </c>
      <c r="B6" s="29" t="inlineStr">
        <is>
          <t>1405/06/03</t>
        </is>
      </c>
      <c r="C6" s="29" t="inlineStr">
        <is>
          <t>لوبیا چیتی</t>
        </is>
      </c>
      <c r="D6" s="41" t="n">
        <v>120</v>
      </c>
      <c r="E6" s="41" t="n">
        <v>116.4</v>
      </c>
      <c r="F6" s="17">
        <f>IF(OR(D6="",E6=""),"",D6-E6)</f>
        <v/>
      </c>
      <c r="G6" s="19">
        <f>IF(OR(D6="",D6=0),"",F6/D6)</f>
        <v/>
      </c>
      <c r="H6" s="33" t="n">
        <v>0.4</v>
      </c>
      <c r="I6" s="13">
        <f>IF(OR(E6="",H6="",H6=0),"",INT(E6/H6))</f>
        <v/>
      </c>
      <c r="J6" s="17">
        <f>IF(OR(E6="",H6="",I6=""),"",E6-I6*H6)</f>
        <v/>
      </c>
      <c r="K6" s="29" t="inlineStr">
        <is>
          <t>مسئول بسته‌بندی</t>
        </is>
      </c>
      <c r="L6" s="29" t="inlineStr"/>
      <c r="M6" s="21">
        <f>IF(B6="","",VALUE(LEFT(B6,4)))</f>
        <v/>
      </c>
      <c r="N6" s="21">
        <f>IF(B6="","",VALUE(MID(B6,6,2)))</f>
        <v/>
      </c>
    </row>
    <row r="7" ht="20" customHeight="1">
      <c r="A7" s="21">
        <f>IF(B7="","",ROW()-3)</f>
        <v/>
      </c>
      <c r="B7" s="29" t="inlineStr">
        <is>
          <t>1405/06/03</t>
        </is>
      </c>
      <c r="C7" s="29" t="inlineStr">
        <is>
          <t>لوبیا چیتی</t>
        </is>
      </c>
      <c r="D7" s="41" t="n">
        <v>80</v>
      </c>
      <c r="E7" s="41" t="n">
        <v>77.59999999999999</v>
      </c>
      <c r="F7" s="17">
        <f>IF(OR(D7="",E7=""),"",D7-E7)</f>
        <v/>
      </c>
      <c r="G7" s="19">
        <f>IF(OR(D7="",D7=0),"",F7/D7)</f>
        <v/>
      </c>
      <c r="H7" s="33" t="n">
        <v>0.9</v>
      </c>
      <c r="I7" s="13">
        <f>IF(OR(E7="",H7="",H7=0),"",INT(E7/H7))</f>
        <v/>
      </c>
      <c r="J7" s="17">
        <f>IF(OR(E7="",H7="",I7=""),"",E7-I7*H7)</f>
        <v/>
      </c>
      <c r="K7" s="29" t="inlineStr">
        <is>
          <t>مسئول بسته‌بندی</t>
        </is>
      </c>
      <c r="L7" s="29" t="inlineStr"/>
      <c r="M7" s="21">
        <f>IF(B7="","",VALUE(LEFT(B7,4)))</f>
        <v/>
      </c>
      <c r="N7" s="21">
        <f>IF(B7="","",VALUE(MID(B7,6,2)))</f>
        <v/>
      </c>
    </row>
    <row r="8" ht="20" customHeight="1">
      <c r="A8" s="21">
        <f>IF(B8="","",ROW()-3)</f>
        <v/>
      </c>
      <c r="B8" s="29" t="inlineStr">
        <is>
          <t>1405/06/05</t>
        </is>
      </c>
      <c r="C8" s="29" t="inlineStr">
        <is>
          <t>نخود</t>
        </is>
      </c>
      <c r="D8" s="41" t="n">
        <v>100</v>
      </c>
      <c r="E8" s="41" t="n">
        <v>96.5</v>
      </c>
      <c r="F8" s="17">
        <f>IF(OR(D8="",E8=""),"",D8-E8)</f>
        <v/>
      </c>
      <c r="G8" s="19">
        <f>IF(OR(D8="",D8=0),"",F8/D8)</f>
        <v/>
      </c>
      <c r="H8" s="33" t="n">
        <v>0.9</v>
      </c>
      <c r="I8" s="13">
        <f>IF(OR(E8="",H8="",H8=0),"",INT(E8/H8))</f>
        <v/>
      </c>
      <c r="J8" s="17">
        <f>IF(OR(E8="",H8="",I8=""),"",E8-I8*H8)</f>
        <v/>
      </c>
      <c r="K8" s="29" t="inlineStr">
        <is>
          <t>مسئول بسته‌بندی</t>
        </is>
      </c>
      <c r="L8" s="29" t="inlineStr"/>
      <c r="M8" s="21">
        <f>IF(B8="","",VALUE(LEFT(B8,4)))</f>
        <v/>
      </c>
      <c r="N8" s="21">
        <f>IF(B8="","",VALUE(MID(B8,6,2)))</f>
        <v/>
      </c>
    </row>
    <row r="9" ht="20" customHeight="1">
      <c r="A9" s="21">
        <f>IF(B9="","",ROW()-3)</f>
        <v/>
      </c>
      <c r="B9" s="29" t="inlineStr">
        <is>
          <t>1405/06/05</t>
        </is>
      </c>
      <c r="C9" s="29" t="inlineStr">
        <is>
          <t>نخود</t>
        </is>
      </c>
      <c r="D9" s="41" t="n">
        <v>60</v>
      </c>
      <c r="E9" s="41" t="n">
        <v>58.2</v>
      </c>
      <c r="F9" s="17">
        <f>IF(OR(D9="",E9=""),"",D9-E9)</f>
        <v/>
      </c>
      <c r="G9" s="19">
        <f>IF(OR(D9="",D9=0),"",F9/D9)</f>
        <v/>
      </c>
      <c r="H9" s="33" t="n">
        <v>0.4</v>
      </c>
      <c r="I9" s="13">
        <f>IF(OR(E9="",H9="",H9=0),"",INT(E9/H9))</f>
        <v/>
      </c>
      <c r="J9" s="17">
        <f>IF(OR(E9="",H9="",I9=""),"",E9-I9*H9)</f>
        <v/>
      </c>
      <c r="K9" s="29" t="inlineStr">
        <is>
          <t>پدر مدیر</t>
        </is>
      </c>
      <c r="L9" s="29" t="inlineStr">
        <is>
          <t>کمک تولید</t>
        </is>
      </c>
      <c r="M9" s="21">
        <f>IF(B9="","",VALUE(LEFT(B9,4)))</f>
        <v/>
      </c>
      <c r="N9" s="21">
        <f>IF(B9="","",VALUE(MID(B9,6,2)))</f>
        <v/>
      </c>
    </row>
    <row r="10" ht="20" customHeight="1">
      <c r="A10" s="21">
        <f>IF(B10="","",ROW()-3)</f>
        <v/>
      </c>
      <c r="B10" s="29" t="inlineStr">
        <is>
          <t>1405/06/08</t>
        </is>
      </c>
      <c r="C10" s="29" t="inlineStr">
        <is>
          <t>عدس</t>
        </is>
      </c>
      <c r="D10" s="41" t="n">
        <v>90</v>
      </c>
      <c r="E10" s="41" t="n">
        <v>86.40000000000001</v>
      </c>
      <c r="F10" s="17">
        <f>IF(OR(D10="",E10=""),"",D10-E10)</f>
        <v/>
      </c>
      <c r="G10" s="19">
        <f>IF(OR(D10="",D10=0),"",F10/D10)</f>
        <v/>
      </c>
      <c r="H10" s="33" t="n">
        <v>0.4</v>
      </c>
      <c r="I10" s="13">
        <f>IF(OR(E10="",H10="",H10=0),"",INT(E10/H10))</f>
        <v/>
      </c>
      <c r="J10" s="17">
        <f>IF(OR(E10="",H10="",I10=""),"",E10-I10*H10)</f>
        <v/>
      </c>
      <c r="K10" s="29" t="inlineStr">
        <is>
          <t>مسئول بسته‌بندی</t>
        </is>
      </c>
      <c r="L10" s="29" t="inlineStr"/>
      <c r="M10" s="21">
        <f>IF(B10="","",VALUE(LEFT(B10,4)))</f>
        <v/>
      </c>
      <c r="N10" s="21">
        <f>IF(B10="","",VALUE(MID(B10,6,2)))</f>
        <v/>
      </c>
    </row>
    <row r="11" ht="20" customHeight="1">
      <c r="A11" s="21">
        <f>IF(B11="","",ROW()-3)</f>
        <v/>
      </c>
      <c r="B11" s="29" t="inlineStr">
        <is>
          <t>1405/06/09</t>
        </is>
      </c>
      <c r="C11" s="29" t="inlineStr">
        <is>
          <t>عدس</t>
        </is>
      </c>
      <c r="D11" s="41" t="n">
        <v>70</v>
      </c>
      <c r="E11" s="41" t="n">
        <v>64</v>
      </c>
      <c r="F11" s="17">
        <f>IF(OR(D11="",E11=""),"",D11-E11)</f>
        <v/>
      </c>
      <c r="G11" s="19">
        <f>IF(OR(D11="",D11=0),"",F11/D11)</f>
        <v/>
      </c>
      <c r="H11" s="33" t="n">
        <v>0.9</v>
      </c>
      <c r="I11" s="13">
        <f>IF(OR(E11="",H11="",H11=0),"",INT(E11/H11))</f>
        <v/>
      </c>
      <c r="J11" s="17">
        <f>IF(OR(E11="",H11="",I11=""),"",E11-I11*H11)</f>
        <v/>
      </c>
      <c r="K11" s="29" t="inlineStr">
        <is>
          <t>مسئول بسته‌بندی</t>
        </is>
      </c>
      <c r="L11" s="29" t="inlineStr">
        <is>
          <t>ضایعات بالاتر از معمول</t>
        </is>
      </c>
      <c r="M11" s="21">
        <f>IF(B11="","",VALUE(LEFT(B11,4)))</f>
        <v/>
      </c>
      <c r="N11" s="21">
        <f>IF(B11="","",VALUE(MID(B11,6,2)))</f>
        <v/>
      </c>
    </row>
    <row r="12" ht="20" customHeight="1">
      <c r="A12" s="21">
        <f>IF(B12="","",ROW()-3)</f>
        <v/>
      </c>
      <c r="B12" s="29" t="inlineStr">
        <is>
          <t>1405/06/11</t>
        </is>
      </c>
      <c r="C12" s="29" t="inlineStr">
        <is>
          <t>لوبیا قرمز</t>
        </is>
      </c>
      <c r="D12" s="41" t="n">
        <v>80</v>
      </c>
      <c r="E12" s="41" t="n">
        <v>77.2</v>
      </c>
      <c r="F12" s="17">
        <f>IF(OR(D12="",E12=""),"",D12-E12)</f>
        <v/>
      </c>
      <c r="G12" s="19">
        <f>IF(OR(D12="",D12=0),"",F12/D12)</f>
        <v/>
      </c>
      <c r="H12" s="33" t="n">
        <v>0.4</v>
      </c>
      <c r="I12" s="13">
        <f>IF(OR(E12="",H12="",H12=0),"",INT(E12/H12))</f>
        <v/>
      </c>
      <c r="J12" s="17">
        <f>IF(OR(E12="",H12="",I12=""),"",E12-I12*H12)</f>
        <v/>
      </c>
      <c r="K12" s="29" t="inlineStr">
        <is>
          <t>مسئول بسته‌بندی</t>
        </is>
      </c>
      <c r="L12" s="29" t="inlineStr"/>
      <c r="M12" s="21">
        <f>IF(B12="","",VALUE(LEFT(B12,4)))</f>
        <v/>
      </c>
      <c r="N12" s="21">
        <f>IF(B12="","",VALUE(MID(B12,6,2)))</f>
        <v/>
      </c>
    </row>
    <row r="13" ht="20" customHeight="1">
      <c r="A13" s="21">
        <f>IF(B13="","",ROW()-3)</f>
        <v/>
      </c>
      <c r="B13" s="29" t="inlineStr">
        <is>
          <t>1405/06/12</t>
        </is>
      </c>
      <c r="C13" s="29" t="inlineStr">
        <is>
          <t>لوبیا قرمز</t>
        </is>
      </c>
      <c r="D13" s="41" t="n">
        <v>70</v>
      </c>
      <c r="E13" s="41" t="n">
        <v>67.5</v>
      </c>
      <c r="F13" s="17">
        <f>IF(OR(D13="",E13=""),"",D13-E13)</f>
        <v/>
      </c>
      <c r="G13" s="19">
        <f>IF(OR(D13="",D13=0),"",F13/D13)</f>
        <v/>
      </c>
      <c r="H13" s="33" t="n">
        <v>0.9</v>
      </c>
      <c r="I13" s="13">
        <f>IF(OR(E13="",H13="",H13=0),"",INT(E13/H13))</f>
        <v/>
      </c>
      <c r="J13" s="17">
        <f>IF(OR(E13="",H13="",I13=""),"",E13-I13*H13)</f>
        <v/>
      </c>
      <c r="K13" s="29" t="inlineStr">
        <is>
          <t>مسئول بسته‌بندی</t>
        </is>
      </c>
      <c r="L13" s="29" t="inlineStr"/>
      <c r="M13" s="21">
        <f>IF(B13="","",VALUE(LEFT(B13,4)))</f>
        <v/>
      </c>
      <c r="N13" s="21">
        <f>IF(B13="","",VALUE(MID(B13,6,2)))</f>
        <v/>
      </c>
    </row>
    <row r="14" ht="20" customHeight="1">
      <c r="A14" s="21">
        <f>IF(B14="","",ROW()-3)</f>
        <v/>
      </c>
      <c r="B14" s="29" t="inlineStr">
        <is>
          <t>1405/06/13</t>
        </is>
      </c>
      <c r="C14" s="29" t="inlineStr">
        <is>
          <t>لوبیا چیتی</t>
        </is>
      </c>
      <c r="D14" s="41" t="n">
        <v>100</v>
      </c>
      <c r="E14" s="41" t="n">
        <v>97</v>
      </c>
      <c r="F14" s="17">
        <f>IF(OR(D14="",E14=""),"",D14-E14)</f>
        <v/>
      </c>
      <c r="G14" s="19">
        <f>IF(OR(D14="",D14=0),"",F14/D14)</f>
        <v/>
      </c>
      <c r="H14" s="33" t="n">
        <v>10</v>
      </c>
      <c r="I14" s="13">
        <f>IF(OR(E14="",H14="",H14=0),"",INT(E14/H14))</f>
        <v/>
      </c>
      <c r="J14" s="17">
        <f>IF(OR(E14="",H14="",I14=""),"",E14-I14*H14)</f>
        <v/>
      </c>
      <c r="K14" s="29" t="inlineStr">
        <is>
          <t>پدر مدیر</t>
        </is>
      </c>
      <c r="L14" s="29" t="inlineStr">
        <is>
          <t>بسته ۱۰ کیلویی عمده</t>
        </is>
      </c>
      <c r="M14" s="21">
        <f>IF(B14="","",VALUE(LEFT(B14,4)))</f>
        <v/>
      </c>
      <c r="N14" s="21">
        <f>IF(B14="","",VALUE(MID(B14,6,2)))</f>
        <v/>
      </c>
    </row>
    <row r="15" ht="20" customHeight="1">
      <c r="A15" s="21">
        <f>IF(B15="","",ROW()-3)</f>
        <v/>
      </c>
      <c r="B15" s="29" t="inlineStr">
        <is>
          <t>1405/06/15</t>
        </is>
      </c>
      <c r="C15" s="29" t="inlineStr">
        <is>
          <t>لپه</t>
        </is>
      </c>
      <c r="D15" s="41" t="n">
        <v>80</v>
      </c>
      <c r="E15" s="41" t="n">
        <v>76.8</v>
      </c>
      <c r="F15" s="17">
        <f>IF(OR(D15="",E15=""),"",D15-E15)</f>
        <v/>
      </c>
      <c r="G15" s="19">
        <f>IF(OR(D15="",D15=0),"",F15/D15)</f>
        <v/>
      </c>
      <c r="H15" s="33" t="n">
        <v>0.9</v>
      </c>
      <c r="I15" s="13">
        <f>IF(OR(E15="",H15="",H15=0),"",INT(E15/H15))</f>
        <v/>
      </c>
      <c r="J15" s="17">
        <f>IF(OR(E15="",H15="",I15=""),"",E15-I15*H15)</f>
        <v/>
      </c>
      <c r="K15" s="29" t="inlineStr">
        <is>
          <t>مسئول بسته‌بندی</t>
        </is>
      </c>
      <c r="L15" s="29" t="inlineStr"/>
      <c r="M15" s="21">
        <f>IF(B15="","",VALUE(LEFT(B15,4)))</f>
        <v/>
      </c>
      <c r="N15" s="21">
        <f>IF(B15="","",VALUE(MID(B15,6,2)))</f>
        <v/>
      </c>
    </row>
    <row r="16" ht="20" customHeight="1">
      <c r="A16" s="21">
        <f>IF(B16="","",ROW()-3)</f>
        <v/>
      </c>
      <c r="B16" s="29" t="inlineStr">
        <is>
          <t>1405/06/16</t>
        </is>
      </c>
      <c r="C16" s="29" t="inlineStr">
        <is>
          <t>لوبیا سفید</t>
        </is>
      </c>
      <c r="D16" s="41" t="n">
        <v>90</v>
      </c>
      <c r="E16" s="41" t="n">
        <v>87.3</v>
      </c>
      <c r="F16" s="17">
        <f>IF(OR(D16="",E16=""),"",D16-E16)</f>
        <v/>
      </c>
      <c r="G16" s="19">
        <f>IF(OR(D16="",D16=0),"",F16/D16)</f>
        <v/>
      </c>
      <c r="H16" s="33" t="n">
        <v>0.4</v>
      </c>
      <c r="I16" s="13">
        <f>IF(OR(E16="",H16="",H16=0),"",INT(E16/H16))</f>
        <v/>
      </c>
      <c r="J16" s="17">
        <f>IF(OR(E16="",H16="",I16=""),"",E16-I16*H16)</f>
        <v/>
      </c>
      <c r="K16" s="29" t="inlineStr">
        <is>
          <t>مسئول بسته‌بندی</t>
        </is>
      </c>
      <c r="L16" s="29" t="inlineStr"/>
      <c r="M16" s="21">
        <f>IF(B16="","",VALUE(LEFT(B16,4)))</f>
        <v/>
      </c>
      <c r="N16" s="21">
        <f>IF(B16="","",VALUE(MID(B16,6,2)))</f>
        <v/>
      </c>
    </row>
    <row r="17" ht="20" customHeight="1">
      <c r="A17" s="21">
        <f>IF(B17="","",ROW()-3)</f>
        <v/>
      </c>
      <c r="B17" s="29" t="inlineStr">
        <is>
          <t>1405/06/17</t>
        </is>
      </c>
      <c r="C17" s="29" t="inlineStr">
        <is>
          <t>نخود</t>
        </is>
      </c>
      <c r="D17" s="41" t="n">
        <v>50</v>
      </c>
      <c r="E17" s="41" t="n">
        <v>48.5</v>
      </c>
      <c r="F17" s="17">
        <f>IF(OR(D17="",E17=""),"",D17-E17)</f>
        <v/>
      </c>
      <c r="G17" s="19">
        <f>IF(OR(D17="",D17=0),"",F17/D17)</f>
        <v/>
      </c>
      <c r="H17" s="33" t="n">
        <v>10</v>
      </c>
      <c r="I17" s="13">
        <f>IF(OR(E17="",H17="",H17=0),"",INT(E17/H17))</f>
        <v/>
      </c>
      <c r="J17" s="17">
        <f>IF(OR(E17="",H17="",I17=""),"",E17-I17*H17)</f>
        <v/>
      </c>
      <c r="K17" s="29" t="inlineStr">
        <is>
          <t>پدر مدیر</t>
        </is>
      </c>
      <c r="L17" s="29" t="inlineStr"/>
      <c r="M17" s="21">
        <f>IF(B17="","",VALUE(LEFT(B17,4)))</f>
        <v/>
      </c>
      <c r="N17" s="21">
        <f>IF(B17="","",VALUE(MID(B17,6,2)))</f>
        <v/>
      </c>
    </row>
    <row r="18" ht="20" customHeight="1">
      <c r="A18" s="21">
        <f>IF(B18="","",ROW()-3)</f>
        <v/>
      </c>
      <c r="B18" s="29" t="inlineStr">
        <is>
          <t>1405/06/18</t>
        </is>
      </c>
      <c r="C18" s="29" t="inlineStr">
        <is>
          <t>لوبیا چیتی</t>
        </is>
      </c>
      <c r="D18" s="41" t="n">
        <v>60</v>
      </c>
      <c r="E18" s="41" t="n">
        <v>57.6</v>
      </c>
      <c r="F18" s="17">
        <f>IF(OR(D18="",E18=""),"",D18-E18)</f>
        <v/>
      </c>
      <c r="G18" s="19">
        <f>IF(OR(D18="",D18=0),"",F18/D18)</f>
        <v/>
      </c>
      <c r="H18" s="33" t="n">
        <v>0.9</v>
      </c>
      <c r="I18" s="13">
        <f>IF(OR(E18="",H18="",H18=0),"",INT(E18/H18))</f>
        <v/>
      </c>
      <c r="J18" s="17">
        <f>IF(OR(E18="",H18="",I18=""),"",E18-I18*H18)</f>
        <v/>
      </c>
      <c r="K18" s="29" t="inlineStr">
        <is>
          <t>مسئول بسته‌بندی</t>
        </is>
      </c>
      <c r="L18" s="29" t="inlineStr"/>
      <c r="M18" s="21">
        <f>IF(B18="","",VALUE(LEFT(B18,4)))</f>
        <v/>
      </c>
      <c r="N18" s="21">
        <f>IF(B18="","",VALUE(MID(B18,6,2)))</f>
        <v/>
      </c>
    </row>
    <row r="19" ht="20" customHeight="1">
      <c r="A19" s="21">
        <f>IF(B19="","",ROW()-3)</f>
        <v/>
      </c>
      <c r="B19" s="29" t="n"/>
      <c r="C19" s="29" t="n"/>
      <c r="D19" s="41" t="n"/>
      <c r="E19" s="41" t="n"/>
      <c r="F19" s="17">
        <f>IF(OR(D19="",E19=""),"",D19-E19)</f>
        <v/>
      </c>
      <c r="G19" s="19">
        <f>IF(OR(D19="",D19=0),"",F19/D19)</f>
        <v/>
      </c>
      <c r="H19" s="33" t="n"/>
      <c r="I19" s="13">
        <f>IF(OR(E19="",H19="",H19=0),"",INT(E19/H19))</f>
        <v/>
      </c>
      <c r="J19" s="17">
        <f>IF(OR(E19="",H19="",I19=""),"",E19-I19*H19)</f>
        <v/>
      </c>
      <c r="K19" s="29" t="n"/>
      <c r="L19" s="29" t="n"/>
      <c r="M19" s="21">
        <f>IF(B19="","",VALUE(LEFT(B19,4)))</f>
        <v/>
      </c>
      <c r="N19" s="21">
        <f>IF(B19="","",VALUE(MID(B19,6,2)))</f>
        <v/>
      </c>
    </row>
    <row r="20" ht="20" customHeight="1">
      <c r="A20" s="21">
        <f>IF(B20="","",ROW()-3)</f>
        <v/>
      </c>
      <c r="B20" s="29" t="n"/>
      <c r="C20" s="29" t="n"/>
      <c r="D20" s="41" t="n"/>
      <c r="E20" s="41" t="n"/>
      <c r="F20" s="17">
        <f>IF(OR(D20="",E20=""),"",D20-E20)</f>
        <v/>
      </c>
      <c r="G20" s="19">
        <f>IF(OR(D20="",D20=0),"",F20/D20)</f>
        <v/>
      </c>
      <c r="H20" s="33" t="n"/>
      <c r="I20" s="13">
        <f>IF(OR(E20="",H20="",H20=0),"",INT(E20/H20))</f>
        <v/>
      </c>
      <c r="J20" s="17">
        <f>IF(OR(E20="",H20="",I20=""),"",E20-I20*H20)</f>
        <v/>
      </c>
      <c r="K20" s="29" t="n"/>
      <c r="L20" s="29" t="n"/>
      <c r="M20" s="21">
        <f>IF(B20="","",VALUE(LEFT(B20,4)))</f>
        <v/>
      </c>
      <c r="N20" s="21">
        <f>IF(B20="","",VALUE(MID(B20,6,2)))</f>
        <v/>
      </c>
    </row>
    <row r="21" ht="20" customHeight="1">
      <c r="A21" s="21">
        <f>IF(B21="","",ROW()-3)</f>
        <v/>
      </c>
      <c r="B21" s="29" t="n"/>
      <c r="C21" s="29" t="n"/>
      <c r="D21" s="41" t="n"/>
      <c r="E21" s="41" t="n"/>
      <c r="F21" s="17">
        <f>IF(OR(D21="",E21=""),"",D21-E21)</f>
        <v/>
      </c>
      <c r="G21" s="19">
        <f>IF(OR(D21="",D21=0),"",F21/D21)</f>
        <v/>
      </c>
      <c r="H21" s="33" t="n"/>
      <c r="I21" s="13">
        <f>IF(OR(E21="",H21="",H21=0),"",INT(E21/H21))</f>
        <v/>
      </c>
      <c r="J21" s="17">
        <f>IF(OR(E21="",H21="",I21=""),"",E21-I21*H21)</f>
        <v/>
      </c>
      <c r="K21" s="29" t="n"/>
      <c r="L21" s="29" t="n"/>
      <c r="M21" s="21">
        <f>IF(B21="","",VALUE(LEFT(B21,4)))</f>
        <v/>
      </c>
      <c r="N21" s="21">
        <f>IF(B21="","",VALUE(MID(B21,6,2)))</f>
        <v/>
      </c>
    </row>
    <row r="22" ht="20" customHeight="1">
      <c r="A22" s="21">
        <f>IF(B22="","",ROW()-3)</f>
        <v/>
      </c>
      <c r="B22" s="29" t="n"/>
      <c r="C22" s="29" t="n"/>
      <c r="D22" s="41" t="n"/>
      <c r="E22" s="41" t="n"/>
      <c r="F22" s="17">
        <f>IF(OR(D22="",E22=""),"",D22-E22)</f>
        <v/>
      </c>
      <c r="G22" s="19">
        <f>IF(OR(D22="",D22=0),"",F22/D22)</f>
        <v/>
      </c>
      <c r="H22" s="33" t="n"/>
      <c r="I22" s="13">
        <f>IF(OR(E22="",H22="",H22=0),"",INT(E22/H22))</f>
        <v/>
      </c>
      <c r="J22" s="17">
        <f>IF(OR(E22="",H22="",I22=""),"",E22-I22*H22)</f>
        <v/>
      </c>
      <c r="K22" s="29" t="n"/>
      <c r="L22" s="29" t="n"/>
      <c r="M22" s="21">
        <f>IF(B22="","",VALUE(LEFT(B22,4)))</f>
        <v/>
      </c>
      <c r="N22" s="21">
        <f>IF(B22="","",VALUE(MID(B22,6,2)))</f>
        <v/>
      </c>
    </row>
    <row r="23" ht="20" customHeight="1">
      <c r="A23" s="21">
        <f>IF(B23="","",ROW()-3)</f>
        <v/>
      </c>
      <c r="B23" s="29" t="n"/>
      <c r="C23" s="29" t="n"/>
      <c r="D23" s="41" t="n"/>
      <c r="E23" s="41" t="n"/>
      <c r="F23" s="17">
        <f>IF(OR(D23="",E23=""),"",D23-E23)</f>
        <v/>
      </c>
      <c r="G23" s="19">
        <f>IF(OR(D23="",D23=0),"",F23/D23)</f>
        <v/>
      </c>
      <c r="H23" s="33" t="n"/>
      <c r="I23" s="13">
        <f>IF(OR(E23="",H23="",H23=0),"",INT(E23/H23))</f>
        <v/>
      </c>
      <c r="J23" s="17">
        <f>IF(OR(E23="",H23="",I23=""),"",E23-I23*H23)</f>
        <v/>
      </c>
      <c r="K23" s="29" t="n"/>
      <c r="L23" s="29" t="n"/>
      <c r="M23" s="21">
        <f>IF(B23="","",VALUE(LEFT(B23,4)))</f>
        <v/>
      </c>
      <c r="N23" s="21">
        <f>IF(B23="","",VALUE(MID(B23,6,2)))</f>
        <v/>
      </c>
    </row>
    <row r="24" ht="20" customHeight="1">
      <c r="A24" s="21">
        <f>IF(B24="","",ROW()-3)</f>
        <v/>
      </c>
      <c r="B24" s="29" t="n"/>
      <c r="C24" s="29" t="n"/>
      <c r="D24" s="41" t="n"/>
      <c r="E24" s="41" t="n"/>
      <c r="F24" s="17">
        <f>IF(OR(D24="",E24=""),"",D24-E24)</f>
        <v/>
      </c>
      <c r="G24" s="19">
        <f>IF(OR(D24="",D24=0),"",F24/D24)</f>
        <v/>
      </c>
      <c r="H24" s="33" t="n"/>
      <c r="I24" s="13">
        <f>IF(OR(E24="",H24="",H24=0),"",INT(E24/H24))</f>
        <v/>
      </c>
      <c r="J24" s="17">
        <f>IF(OR(E24="",H24="",I24=""),"",E24-I24*H24)</f>
        <v/>
      </c>
      <c r="K24" s="29" t="n"/>
      <c r="L24" s="29" t="n"/>
      <c r="M24" s="21">
        <f>IF(B24="","",VALUE(LEFT(B24,4)))</f>
        <v/>
      </c>
      <c r="N24" s="21">
        <f>IF(B24="","",VALUE(MID(B24,6,2)))</f>
        <v/>
      </c>
    </row>
    <row r="25" ht="20" customHeight="1">
      <c r="A25" s="21">
        <f>IF(B25="","",ROW()-3)</f>
        <v/>
      </c>
      <c r="B25" s="29" t="n"/>
      <c r="C25" s="29" t="n"/>
      <c r="D25" s="41" t="n"/>
      <c r="E25" s="41" t="n"/>
      <c r="F25" s="17">
        <f>IF(OR(D25="",E25=""),"",D25-E25)</f>
        <v/>
      </c>
      <c r="G25" s="19">
        <f>IF(OR(D25="",D25=0),"",F25/D25)</f>
        <v/>
      </c>
      <c r="H25" s="33" t="n"/>
      <c r="I25" s="13">
        <f>IF(OR(E25="",H25="",H25=0),"",INT(E25/H25))</f>
        <v/>
      </c>
      <c r="J25" s="17">
        <f>IF(OR(E25="",H25="",I25=""),"",E25-I25*H25)</f>
        <v/>
      </c>
      <c r="K25" s="29" t="n"/>
      <c r="L25" s="29" t="n"/>
      <c r="M25" s="21">
        <f>IF(B25="","",VALUE(LEFT(B25,4)))</f>
        <v/>
      </c>
      <c r="N25" s="21">
        <f>IF(B25="","",VALUE(MID(B25,6,2)))</f>
        <v/>
      </c>
    </row>
    <row r="26" ht="20" customHeight="1">
      <c r="A26" s="21">
        <f>IF(B26="","",ROW()-3)</f>
        <v/>
      </c>
      <c r="B26" s="29" t="n"/>
      <c r="C26" s="29" t="n"/>
      <c r="D26" s="41" t="n"/>
      <c r="E26" s="41" t="n"/>
      <c r="F26" s="17">
        <f>IF(OR(D26="",E26=""),"",D26-E26)</f>
        <v/>
      </c>
      <c r="G26" s="19">
        <f>IF(OR(D26="",D26=0),"",F26/D26)</f>
        <v/>
      </c>
      <c r="H26" s="33" t="n"/>
      <c r="I26" s="13">
        <f>IF(OR(E26="",H26="",H26=0),"",INT(E26/H26))</f>
        <v/>
      </c>
      <c r="J26" s="17">
        <f>IF(OR(E26="",H26="",I26=""),"",E26-I26*H26)</f>
        <v/>
      </c>
      <c r="K26" s="29" t="n"/>
      <c r="L26" s="29" t="n"/>
      <c r="M26" s="21">
        <f>IF(B26="","",VALUE(LEFT(B26,4)))</f>
        <v/>
      </c>
      <c r="N26" s="21">
        <f>IF(B26="","",VALUE(MID(B26,6,2)))</f>
        <v/>
      </c>
    </row>
    <row r="27" ht="20" customHeight="1">
      <c r="A27" s="21">
        <f>IF(B27="","",ROW()-3)</f>
        <v/>
      </c>
      <c r="B27" s="29" t="n"/>
      <c r="C27" s="29" t="n"/>
      <c r="D27" s="41" t="n"/>
      <c r="E27" s="41" t="n"/>
      <c r="F27" s="17">
        <f>IF(OR(D27="",E27=""),"",D27-E27)</f>
        <v/>
      </c>
      <c r="G27" s="19">
        <f>IF(OR(D27="",D27=0),"",F27/D27)</f>
        <v/>
      </c>
      <c r="H27" s="33" t="n"/>
      <c r="I27" s="13">
        <f>IF(OR(E27="",H27="",H27=0),"",INT(E27/H27))</f>
        <v/>
      </c>
      <c r="J27" s="17">
        <f>IF(OR(E27="",H27="",I27=""),"",E27-I27*H27)</f>
        <v/>
      </c>
      <c r="K27" s="29" t="n"/>
      <c r="L27" s="29" t="n"/>
      <c r="M27" s="21">
        <f>IF(B27="","",VALUE(LEFT(B27,4)))</f>
        <v/>
      </c>
      <c r="N27" s="21">
        <f>IF(B27="","",VALUE(MID(B27,6,2)))</f>
        <v/>
      </c>
    </row>
    <row r="28" ht="20" customHeight="1">
      <c r="A28" s="21">
        <f>IF(B28="","",ROW()-3)</f>
        <v/>
      </c>
      <c r="B28" s="29" t="n"/>
      <c r="C28" s="29" t="n"/>
      <c r="D28" s="41" t="n"/>
      <c r="E28" s="41" t="n"/>
      <c r="F28" s="17">
        <f>IF(OR(D28="",E28=""),"",D28-E28)</f>
        <v/>
      </c>
      <c r="G28" s="19">
        <f>IF(OR(D28="",D28=0),"",F28/D28)</f>
        <v/>
      </c>
      <c r="H28" s="33" t="n"/>
      <c r="I28" s="13">
        <f>IF(OR(E28="",H28="",H28=0),"",INT(E28/H28))</f>
        <v/>
      </c>
      <c r="J28" s="17">
        <f>IF(OR(E28="",H28="",I28=""),"",E28-I28*H28)</f>
        <v/>
      </c>
      <c r="K28" s="29" t="n"/>
      <c r="L28" s="29" t="n"/>
      <c r="M28" s="21">
        <f>IF(B28="","",VALUE(LEFT(B28,4)))</f>
        <v/>
      </c>
      <c r="N28" s="21">
        <f>IF(B28="","",VALUE(MID(B28,6,2)))</f>
        <v/>
      </c>
    </row>
    <row r="29" ht="20" customHeight="1">
      <c r="A29" s="21">
        <f>IF(B29="","",ROW()-3)</f>
        <v/>
      </c>
      <c r="B29" s="29" t="n"/>
      <c r="C29" s="29" t="n"/>
      <c r="D29" s="41" t="n"/>
      <c r="E29" s="41" t="n"/>
      <c r="F29" s="17">
        <f>IF(OR(D29="",E29=""),"",D29-E29)</f>
        <v/>
      </c>
      <c r="G29" s="19">
        <f>IF(OR(D29="",D29=0),"",F29/D29)</f>
        <v/>
      </c>
      <c r="H29" s="33" t="n"/>
      <c r="I29" s="13">
        <f>IF(OR(E29="",H29="",H29=0),"",INT(E29/H29))</f>
        <v/>
      </c>
      <c r="J29" s="17">
        <f>IF(OR(E29="",H29="",I29=""),"",E29-I29*H29)</f>
        <v/>
      </c>
      <c r="K29" s="29" t="n"/>
      <c r="L29" s="29" t="n"/>
      <c r="M29" s="21">
        <f>IF(B29="","",VALUE(LEFT(B29,4)))</f>
        <v/>
      </c>
      <c r="N29" s="21">
        <f>IF(B29="","",VALUE(MID(B29,6,2)))</f>
        <v/>
      </c>
    </row>
    <row r="30" ht="20" customHeight="1">
      <c r="A30" s="21">
        <f>IF(B30="","",ROW()-3)</f>
        <v/>
      </c>
      <c r="B30" s="29" t="n"/>
      <c r="C30" s="29" t="n"/>
      <c r="D30" s="41" t="n"/>
      <c r="E30" s="41" t="n"/>
      <c r="F30" s="17">
        <f>IF(OR(D30="",E30=""),"",D30-E30)</f>
        <v/>
      </c>
      <c r="G30" s="19">
        <f>IF(OR(D30="",D30=0),"",F30/D30)</f>
        <v/>
      </c>
      <c r="H30" s="33" t="n"/>
      <c r="I30" s="13">
        <f>IF(OR(E30="",H30="",H30=0),"",INT(E30/H30))</f>
        <v/>
      </c>
      <c r="J30" s="17">
        <f>IF(OR(E30="",H30="",I30=""),"",E30-I30*H30)</f>
        <v/>
      </c>
      <c r="K30" s="29" t="n"/>
      <c r="L30" s="29" t="n"/>
      <c r="M30" s="21">
        <f>IF(B30="","",VALUE(LEFT(B30,4)))</f>
        <v/>
      </c>
      <c r="N30" s="21">
        <f>IF(B30="","",VALUE(MID(B30,6,2)))</f>
        <v/>
      </c>
    </row>
    <row r="31" ht="20" customHeight="1">
      <c r="A31" s="21">
        <f>IF(B31="","",ROW()-3)</f>
        <v/>
      </c>
      <c r="B31" s="29" t="n"/>
      <c r="C31" s="29" t="n"/>
      <c r="D31" s="41" t="n"/>
      <c r="E31" s="41" t="n"/>
      <c r="F31" s="17">
        <f>IF(OR(D31="",E31=""),"",D31-E31)</f>
        <v/>
      </c>
      <c r="G31" s="19">
        <f>IF(OR(D31="",D31=0),"",F31/D31)</f>
        <v/>
      </c>
      <c r="H31" s="33" t="n"/>
      <c r="I31" s="13">
        <f>IF(OR(E31="",H31="",H31=0),"",INT(E31/H31))</f>
        <v/>
      </c>
      <c r="J31" s="17">
        <f>IF(OR(E31="",H31="",I31=""),"",E31-I31*H31)</f>
        <v/>
      </c>
      <c r="K31" s="29" t="n"/>
      <c r="L31" s="29" t="n"/>
      <c r="M31" s="21">
        <f>IF(B31="","",VALUE(LEFT(B31,4)))</f>
        <v/>
      </c>
      <c r="N31" s="21">
        <f>IF(B31="","",VALUE(MID(B31,6,2)))</f>
        <v/>
      </c>
    </row>
    <row r="32" ht="20" customHeight="1">
      <c r="A32" s="21">
        <f>IF(B32="","",ROW()-3)</f>
        <v/>
      </c>
      <c r="B32" s="29" t="n"/>
      <c r="C32" s="29" t="n"/>
      <c r="D32" s="41" t="n"/>
      <c r="E32" s="41" t="n"/>
      <c r="F32" s="17">
        <f>IF(OR(D32="",E32=""),"",D32-E32)</f>
        <v/>
      </c>
      <c r="G32" s="19">
        <f>IF(OR(D32="",D32=0),"",F32/D32)</f>
        <v/>
      </c>
      <c r="H32" s="33" t="n"/>
      <c r="I32" s="13">
        <f>IF(OR(E32="",H32="",H32=0),"",INT(E32/H32))</f>
        <v/>
      </c>
      <c r="J32" s="17">
        <f>IF(OR(E32="",H32="",I32=""),"",E32-I32*H32)</f>
        <v/>
      </c>
      <c r="K32" s="29" t="n"/>
      <c r="L32" s="29" t="n"/>
      <c r="M32" s="21">
        <f>IF(B32="","",VALUE(LEFT(B32,4)))</f>
        <v/>
      </c>
      <c r="N32" s="21">
        <f>IF(B32="","",VALUE(MID(B32,6,2)))</f>
        <v/>
      </c>
    </row>
    <row r="33" ht="20" customHeight="1">
      <c r="A33" s="21">
        <f>IF(B33="","",ROW()-3)</f>
        <v/>
      </c>
      <c r="B33" s="29" t="n"/>
      <c r="C33" s="29" t="n"/>
      <c r="D33" s="41" t="n"/>
      <c r="E33" s="41" t="n"/>
      <c r="F33" s="17">
        <f>IF(OR(D33="",E33=""),"",D33-E33)</f>
        <v/>
      </c>
      <c r="G33" s="19">
        <f>IF(OR(D33="",D33=0),"",F33/D33)</f>
        <v/>
      </c>
      <c r="H33" s="33" t="n"/>
      <c r="I33" s="13">
        <f>IF(OR(E33="",H33="",H33=0),"",INT(E33/H33))</f>
        <v/>
      </c>
      <c r="J33" s="17">
        <f>IF(OR(E33="",H33="",I33=""),"",E33-I33*H33)</f>
        <v/>
      </c>
      <c r="K33" s="29" t="n"/>
      <c r="L33" s="29" t="n"/>
      <c r="M33" s="21">
        <f>IF(B33="","",VALUE(LEFT(B33,4)))</f>
        <v/>
      </c>
      <c r="N33" s="21">
        <f>IF(B33="","",VALUE(MID(B33,6,2)))</f>
        <v/>
      </c>
    </row>
    <row r="34" ht="20" customHeight="1">
      <c r="A34" s="21">
        <f>IF(B34="","",ROW()-3)</f>
        <v/>
      </c>
      <c r="B34" s="29" t="n"/>
      <c r="C34" s="29" t="n"/>
      <c r="D34" s="41" t="n"/>
      <c r="E34" s="41" t="n"/>
      <c r="F34" s="17">
        <f>IF(OR(D34="",E34=""),"",D34-E34)</f>
        <v/>
      </c>
      <c r="G34" s="19">
        <f>IF(OR(D34="",D34=0),"",F34/D34)</f>
        <v/>
      </c>
      <c r="H34" s="33" t="n"/>
      <c r="I34" s="13">
        <f>IF(OR(E34="",H34="",H34=0),"",INT(E34/H34))</f>
        <v/>
      </c>
      <c r="J34" s="17">
        <f>IF(OR(E34="",H34="",I34=""),"",E34-I34*H34)</f>
        <v/>
      </c>
      <c r="K34" s="29" t="n"/>
      <c r="L34" s="29" t="n"/>
      <c r="M34" s="21">
        <f>IF(B34="","",VALUE(LEFT(B34,4)))</f>
        <v/>
      </c>
      <c r="N34" s="21">
        <f>IF(B34="","",VALUE(MID(B34,6,2)))</f>
        <v/>
      </c>
    </row>
    <row r="35" ht="20" customHeight="1">
      <c r="A35" s="21">
        <f>IF(B35="","",ROW()-3)</f>
        <v/>
      </c>
      <c r="B35" s="29" t="n"/>
      <c r="C35" s="29" t="n"/>
      <c r="D35" s="41" t="n"/>
      <c r="E35" s="41" t="n"/>
      <c r="F35" s="17">
        <f>IF(OR(D35="",E35=""),"",D35-E35)</f>
        <v/>
      </c>
      <c r="G35" s="19">
        <f>IF(OR(D35="",D35=0),"",F35/D35)</f>
        <v/>
      </c>
      <c r="H35" s="33" t="n"/>
      <c r="I35" s="13">
        <f>IF(OR(E35="",H35="",H35=0),"",INT(E35/H35))</f>
        <v/>
      </c>
      <c r="J35" s="17">
        <f>IF(OR(E35="",H35="",I35=""),"",E35-I35*H35)</f>
        <v/>
      </c>
      <c r="K35" s="29" t="n"/>
      <c r="L35" s="29" t="n"/>
      <c r="M35" s="21">
        <f>IF(B35="","",VALUE(LEFT(B35,4)))</f>
        <v/>
      </c>
      <c r="N35" s="21">
        <f>IF(B35="","",VALUE(MID(B35,6,2)))</f>
        <v/>
      </c>
    </row>
    <row r="36" ht="20" customHeight="1">
      <c r="A36" s="21">
        <f>IF(B36="","",ROW()-3)</f>
        <v/>
      </c>
      <c r="B36" s="29" t="n"/>
      <c r="C36" s="29" t="n"/>
      <c r="D36" s="41" t="n"/>
      <c r="E36" s="41" t="n"/>
      <c r="F36" s="17">
        <f>IF(OR(D36="",E36=""),"",D36-E36)</f>
        <v/>
      </c>
      <c r="G36" s="19">
        <f>IF(OR(D36="",D36=0),"",F36/D36)</f>
        <v/>
      </c>
      <c r="H36" s="33" t="n"/>
      <c r="I36" s="13">
        <f>IF(OR(E36="",H36="",H36=0),"",INT(E36/H36))</f>
        <v/>
      </c>
      <c r="J36" s="17">
        <f>IF(OR(E36="",H36="",I36=""),"",E36-I36*H36)</f>
        <v/>
      </c>
      <c r="K36" s="29" t="n"/>
      <c r="L36" s="29" t="n"/>
      <c r="M36" s="21">
        <f>IF(B36="","",VALUE(LEFT(B36,4)))</f>
        <v/>
      </c>
      <c r="N36" s="21">
        <f>IF(B36="","",VALUE(MID(B36,6,2)))</f>
        <v/>
      </c>
    </row>
    <row r="37" ht="20" customHeight="1">
      <c r="A37" s="21">
        <f>IF(B37="","",ROW()-3)</f>
        <v/>
      </c>
      <c r="B37" s="29" t="n"/>
      <c r="C37" s="29" t="n"/>
      <c r="D37" s="41" t="n"/>
      <c r="E37" s="41" t="n"/>
      <c r="F37" s="17">
        <f>IF(OR(D37="",E37=""),"",D37-E37)</f>
        <v/>
      </c>
      <c r="G37" s="19">
        <f>IF(OR(D37="",D37=0),"",F37/D37)</f>
        <v/>
      </c>
      <c r="H37" s="33" t="n"/>
      <c r="I37" s="13">
        <f>IF(OR(E37="",H37="",H37=0),"",INT(E37/H37))</f>
        <v/>
      </c>
      <c r="J37" s="17">
        <f>IF(OR(E37="",H37="",I37=""),"",E37-I37*H37)</f>
        <v/>
      </c>
      <c r="K37" s="29" t="n"/>
      <c r="L37" s="29" t="n"/>
      <c r="M37" s="21">
        <f>IF(B37="","",VALUE(LEFT(B37,4)))</f>
        <v/>
      </c>
      <c r="N37" s="21">
        <f>IF(B37="","",VALUE(MID(B37,6,2)))</f>
        <v/>
      </c>
    </row>
    <row r="38" ht="20" customHeight="1">
      <c r="A38" s="21">
        <f>IF(B38="","",ROW()-3)</f>
        <v/>
      </c>
      <c r="B38" s="29" t="n"/>
      <c r="C38" s="29" t="n"/>
      <c r="D38" s="41" t="n"/>
      <c r="E38" s="41" t="n"/>
      <c r="F38" s="17">
        <f>IF(OR(D38="",E38=""),"",D38-E38)</f>
        <v/>
      </c>
      <c r="G38" s="19">
        <f>IF(OR(D38="",D38=0),"",F38/D38)</f>
        <v/>
      </c>
      <c r="H38" s="33" t="n"/>
      <c r="I38" s="13">
        <f>IF(OR(E38="",H38="",H38=0),"",INT(E38/H38))</f>
        <v/>
      </c>
      <c r="J38" s="17">
        <f>IF(OR(E38="",H38="",I38=""),"",E38-I38*H38)</f>
        <v/>
      </c>
      <c r="K38" s="29" t="n"/>
      <c r="L38" s="29" t="n"/>
      <c r="M38" s="21">
        <f>IF(B38="","",VALUE(LEFT(B38,4)))</f>
        <v/>
      </c>
      <c r="N38" s="21">
        <f>IF(B38="","",VALUE(MID(B38,6,2)))</f>
        <v/>
      </c>
    </row>
    <row r="39" ht="20" customHeight="1">
      <c r="A39" s="21">
        <f>IF(B39="","",ROW()-3)</f>
        <v/>
      </c>
      <c r="B39" s="29" t="n"/>
      <c r="C39" s="29" t="n"/>
      <c r="D39" s="41" t="n"/>
      <c r="E39" s="41" t="n"/>
      <c r="F39" s="17">
        <f>IF(OR(D39="",E39=""),"",D39-E39)</f>
        <v/>
      </c>
      <c r="G39" s="19">
        <f>IF(OR(D39="",D39=0),"",F39/D39)</f>
        <v/>
      </c>
      <c r="H39" s="33" t="n"/>
      <c r="I39" s="13">
        <f>IF(OR(E39="",H39="",H39=0),"",INT(E39/H39))</f>
        <v/>
      </c>
      <c r="J39" s="17">
        <f>IF(OR(E39="",H39="",I39=""),"",E39-I39*H39)</f>
        <v/>
      </c>
      <c r="K39" s="29" t="n"/>
      <c r="L39" s="29" t="n"/>
      <c r="M39" s="21">
        <f>IF(B39="","",VALUE(LEFT(B39,4)))</f>
        <v/>
      </c>
      <c r="N39" s="21">
        <f>IF(B39="","",VALUE(MID(B39,6,2)))</f>
        <v/>
      </c>
    </row>
    <row r="40" ht="20" customHeight="1">
      <c r="A40" s="21">
        <f>IF(B40="","",ROW()-3)</f>
        <v/>
      </c>
      <c r="B40" s="29" t="n"/>
      <c r="C40" s="29" t="n"/>
      <c r="D40" s="41" t="n"/>
      <c r="E40" s="41" t="n"/>
      <c r="F40" s="17">
        <f>IF(OR(D40="",E40=""),"",D40-E40)</f>
        <v/>
      </c>
      <c r="G40" s="19">
        <f>IF(OR(D40="",D40=0),"",F40/D40)</f>
        <v/>
      </c>
      <c r="H40" s="33" t="n"/>
      <c r="I40" s="13">
        <f>IF(OR(E40="",H40="",H40=0),"",INT(E40/H40))</f>
        <v/>
      </c>
      <c r="J40" s="17">
        <f>IF(OR(E40="",H40="",I40=""),"",E40-I40*H40)</f>
        <v/>
      </c>
      <c r="K40" s="29" t="n"/>
      <c r="L40" s="29" t="n"/>
      <c r="M40" s="21">
        <f>IF(B40="","",VALUE(LEFT(B40,4)))</f>
        <v/>
      </c>
      <c r="N40" s="21">
        <f>IF(B40="","",VALUE(MID(B40,6,2)))</f>
        <v/>
      </c>
    </row>
    <row r="41" ht="20" customHeight="1">
      <c r="A41" s="21">
        <f>IF(B41="","",ROW()-3)</f>
        <v/>
      </c>
      <c r="B41" s="29" t="n"/>
      <c r="C41" s="29" t="n"/>
      <c r="D41" s="41" t="n"/>
      <c r="E41" s="41" t="n"/>
      <c r="F41" s="17">
        <f>IF(OR(D41="",E41=""),"",D41-E41)</f>
        <v/>
      </c>
      <c r="G41" s="19">
        <f>IF(OR(D41="",D41=0),"",F41/D41)</f>
        <v/>
      </c>
      <c r="H41" s="33" t="n"/>
      <c r="I41" s="13">
        <f>IF(OR(E41="",H41="",H41=0),"",INT(E41/H41))</f>
        <v/>
      </c>
      <c r="J41" s="17">
        <f>IF(OR(E41="",H41="",I41=""),"",E41-I41*H41)</f>
        <v/>
      </c>
      <c r="K41" s="29" t="n"/>
      <c r="L41" s="29" t="n"/>
      <c r="M41" s="21">
        <f>IF(B41="","",VALUE(LEFT(B41,4)))</f>
        <v/>
      </c>
      <c r="N41" s="21">
        <f>IF(B41="","",VALUE(MID(B41,6,2)))</f>
        <v/>
      </c>
    </row>
    <row r="42" ht="20" customHeight="1">
      <c r="A42" s="21">
        <f>IF(B42="","",ROW()-3)</f>
        <v/>
      </c>
      <c r="B42" s="29" t="n"/>
      <c r="C42" s="29" t="n"/>
      <c r="D42" s="41" t="n"/>
      <c r="E42" s="41" t="n"/>
      <c r="F42" s="17">
        <f>IF(OR(D42="",E42=""),"",D42-E42)</f>
        <v/>
      </c>
      <c r="G42" s="19">
        <f>IF(OR(D42="",D42=0),"",F42/D42)</f>
        <v/>
      </c>
      <c r="H42" s="33" t="n"/>
      <c r="I42" s="13">
        <f>IF(OR(E42="",H42="",H42=0),"",INT(E42/H42))</f>
        <v/>
      </c>
      <c r="J42" s="17">
        <f>IF(OR(E42="",H42="",I42=""),"",E42-I42*H42)</f>
        <v/>
      </c>
      <c r="K42" s="29" t="n"/>
      <c r="L42" s="29" t="n"/>
      <c r="M42" s="21">
        <f>IF(B42="","",VALUE(LEFT(B42,4)))</f>
        <v/>
      </c>
      <c r="N42" s="21">
        <f>IF(B42="","",VALUE(MID(B42,6,2)))</f>
        <v/>
      </c>
    </row>
    <row r="43" ht="20" customHeight="1">
      <c r="A43" s="21">
        <f>IF(B43="","",ROW()-3)</f>
        <v/>
      </c>
      <c r="B43" s="29" t="n"/>
      <c r="C43" s="29" t="n"/>
      <c r="D43" s="41" t="n"/>
      <c r="E43" s="41" t="n"/>
      <c r="F43" s="17">
        <f>IF(OR(D43="",E43=""),"",D43-E43)</f>
        <v/>
      </c>
      <c r="G43" s="19">
        <f>IF(OR(D43="",D43=0),"",F43/D43)</f>
        <v/>
      </c>
      <c r="H43" s="33" t="n"/>
      <c r="I43" s="13">
        <f>IF(OR(E43="",H43="",H43=0),"",INT(E43/H43))</f>
        <v/>
      </c>
      <c r="J43" s="17">
        <f>IF(OR(E43="",H43="",I43=""),"",E43-I43*H43)</f>
        <v/>
      </c>
      <c r="K43" s="29" t="n"/>
      <c r="L43" s="29" t="n"/>
      <c r="M43" s="21">
        <f>IF(B43="","",VALUE(LEFT(B43,4)))</f>
        <v/>
      </c>
      <c r="N43" s="21">
        <f>IF(B43="","",VALUE(MID(B43,6,2)))</f>
        <v/>
      </c>
    </row>
    <row r="44" ht="20" customHeight="1">
      <c r="A44" s="21">
        <f>IF(B44="","",ROW()-3)</f>
        <v/>
      </c>
      <c r="B44" s="29" t="n"/>
      <c r="C44" s="29" t="n"/>
      <c r="D44" s="41" t="n"/>
      <c r="E44" s="41" t="n"/>
      <c r="F44" s="17">
        <f>IF(OR(D44="",E44=""),"",D44-E44)</f>
        <v/>
      </c>
      <c r="G44" s="19">
        <f>IF(OR(D44="",D44=0),"",F44/D44)</f>
        <v/>
      </c>
      <c r="H44" s="33" t="n"/>
      <c r="I44" s="13">
        <f>IF(OR(E44="",H44="",H44=0),"",INT(E44/H44))</f>
        <v/>
      </c>
      <c r="J44" s="17">
        <f>IF(OR(E44="",H44="",I44=""),"",E44-I44*H44)</f>
        <v/>
      </c>
      <c r="K44" s="29" t="n"/>
      <c r="L44" s="29" t="n"/>
      <c r="M44" s="21">
        <f>IF(B44="","",VALUE(LEFT(B44,4)))</f>
        <v/>
      </c>
      <c r="N44" s="21">
        <f>IF(B44="","",VALUE(MID(B44,6,2)))</f>
        <v/>
      </c>
    </row>
    <row r="45" ht="20" customHeight="1">
      <c r="A45" s="21">
        <f>IF(B45="","",ROW()-3)</f>
        <v/>
      </c>
      <c r="B45" s="29" t="n"/>
      <c r="C45" s="29" t="n"/>
      <c r="D45" s="41" t="n"/>
      <c r="E45" s="41" t="n"/>
      <c r="F45" s="17">
        <f>IF(OR(D45="",E45=""),"",D45-E45)</f>
        <v/>
      </c>
      <c r="G45" s="19">
        <f>IF(OR(D45="",D45=0),"",F45/D45)</f>
        <v/>
      </c>
      <c r="H45" s="33" t="n"/>
      <c r="I45" s="13">
        <f>IF(OR(E45="",H45="",H45=0),"",INT(E45/H45))</f>
        <v/>
      </c>
      <c r="J45" s="17">
        <f>IF(OR(E45="",H45="",I45=""),"",E45-I45*H45)</f>
        <v/>
      </c>
      <c r="K45" s="29" t="n"/>
      <c r="L45" s="29" t="n"/>
      <c r="M45" s="21">
        <f>IF(B45="","",VALUE(LEFT(B45,4)))</f>
        <v/>
      </c>
      <c r="N45" s="21">
        <f>IF(B45="","",VALUE(MID(B45,6,2)))</f>
        <v/>
      </c>
    </row>
    <row r="46" ht="20" customHeight="1">
      <c r="A46" s="21">
        <f>IF(B46="","",ROW()-3)</f>
        <v/>
      </c>
      <c r="B46" s="29" t="n"/>
      <c r="C46" s="29" t="n"/>
      <c r="D46" s="41" t="n"/>
      <c r="E46" s="41" t="n"/>
      <c r="F46" s="17">
        <f>IF(OR(D46="",E46=""),"",D46-E46)</f>
        <v/>
      </c>
      <c r="G46" s="19">
        <f>IF(OR(D46="",D46=0),"",F46/D46)</f>
        <v/>
      </c>
      <c r="H46" s="33" t="n"/>
      <c r="I46" s="13">
        <f>IF(OR(E46="",H46="",H46=0),"",INT(E46/H46))</f>
        <v/>
      </c>
      <c r="J46" s="17">
        <f>IF(OR(E46="",H46="",I46=""),"",E46-I46*H46)</f>
        <v/>
      </c>
      <c r="K46" s="29" t="n"/>
      <c r="L46" s="29" t="n"/>
      <c r="M46" s="21">
        <f>IF(B46="","",VALUE(LEFT(B46,4)))</f>
        <v/>
      </c>
      <c r="N46" s="21">
        <f>IF(B46="","",VALUE(MID(B46,6,2)))</f>
        <v/>
      </c>
    </row>
    <row r="47" ht="20" customHeight="1">
      <c r="A47" s="21">
        <f>IF(B47="","",ROW()-3)</f>
        <v/>
      </c>
      <c r="B47" s="29" t="n"/>
      <c r="C47" s="29" t="n"/>
      <c r="D47" s="41" t="n"/>
      <c r="E47" s="41" t="n"/>
      <c r="F47" s="17">
        <f>IF(OR(D47="",E47=""),"",D47-E47)</f>
        <v/>
      </c>
      <c r="G47" s="19">
        <f>IF(OR(D47="",D47=0),"",F47/D47)</f>
        <v/>
      </c>
      <c r="H47" s="33" t="n"/>
      <c r="I47" s="13">
        <f>IF(OR(E47="",H47="",H47=0),"",INT(E47/H47))</f>
        <v/>
      </c>
      <c r="J47" s="17">
        <f>IF(OR(E47="",H47="",I47=""),"",E47-I47*H47)</f>
        <v/>
      </c>
      <c r="K47" s="29" t="n"/>
      <c r="L47" s="29" t="n"/>
      <c r="M47" s="21">
        <f>IF(B47="","",VALUE(LEFT(B47,4)))</f>
        <v/>
      </c>
      <c r="N47" s="21">
        <f>IF(B47="","",VALUE(MID(B47,6,2)))</f>
        <v/>
      </c>
    </row>
    <row r="48" ht="20" customHeight="1">
      <c r="A48" s="21">
        <f>IF(B48="","",ROW()-3)</f>
        <v/>
      </c>
      <c r="B48" s="29" t="n"/>
      <c r="C48" s="29" t="n"/>
      <c r="D48" s="41" t="n"/>
      <c r="E48" s="41" t="n"/>
      <c r="F48" s="17">
        <f>IF(OR(D48="",E48=""),"",D48-E48)</f>
        <v/>
      </c>
      <c r="G48" s="19">
        <f>IF(OR(D48="",D48=0),"",F48/D48)</f>
        <v/>
      </c>
      <c r="H48" s="33" t="n"/>
      <c r="I48" s="13">
        <f>IF(OR(E48="",H48="",H48=0),"",INT(E48/H48))</f>
        <v/>
      </c>
      <c r="J48" s="17">
        <f>IF(OR(E48="",H48="",I48=""),"",E48-I48*H48)</f>
        <v/>
      </c>
      <c r="K48" s="29" t="n"/>
      <c r="L48" s="29" t="n"/>
      <c r="M48" s="21">
        <f>IF(B48="","",VALUE(LEFT(B48,4)))</f>
        <v/>
      </c>
      <c r="N48" s="21">
        <f>IF(B48="","",VALUE(MID(B48,6,2)))</f>
        <v/>
      </c>
    </row>
    <row r="49" ht="20" customHeight="1">
      <c r="A49" s="21">
        <f>IF(B49="","",ROW()-3)</f>
        <v/>
      </c>
      <c r="B49" s="29" t="n"/>
      <c r="C49" s="29" t="n"/>
      <c r="D49" s="41" t="n"/>
      <c r="E49" s="41" t="n"/>
      <c r="F49" s="17">
        <f>IF(OR(D49="",E49=""),"",D49-E49)</f>
        <v/>
      </c>
      <c r="G49" s="19">
        <f>IF(OR(D49="",D49=0),"",F49/D49)</f>
        <v/>
      </c>
      <c r="H49" s="33" t="n"/>
      <c r="I49" s="13">
        <f>IF(OR(E49="",H49="",H49=0),"",INT(E49/H49))</f>
        <v/>
      </c>
      <c r="J49" s="17">
        <f>IF(OR(E49="",H49="",I49=""),"",E49-I49*H49)</f>
        <v/>
      </c>
      <c r="K49" s="29" t="n"/>
      <c r="L49" s="29" t="n"/>
      <c r="M49" s="21">
        <f>IF(B49="","",VALUE(LEFT(B49,4)))</f>
        <v/>
      </c>
      <c r="N49" s="21">
        <f>IF(B49="","",VALUE(MID(B49,6,2)))</f>
        <v/>
      </c>
    </row>
    <row r="50" ht="20" customHeight="1">
      <c r="A50" s="21">
        <f>IF(B50="","",ROW()-3)</f>
        <v/>
      </c>
      <c r="B50" s="29" t="n"/>
      <c r="C50" s="29" t="n"/>
      <c r="D50" s="41" t="n"/>
      <c r="E50" s="41" t="n"/>
      <c r="F50" s="17">
        <f>IF(OR(D50="",E50=""),"",D50-E50)</f>
        <v/>
      </c>
      <c r="G50" s="19">
        <f>IF(OR(D50="",D50=0),"",F50/D50)</f>
        <v/>
      </c>
      <c r="H50" s="33" t="n"/>
      <c r="I50" s="13">
        <f>IF(OR(E50="",H50="",H50=0),"",INT(E50/H50))</f>
        <v/>
      </c>
      <c r="J50" s="17">
        <f>IF(OR(E50="",H50="",I50=""),"",E50-I50*H50)</f>
        <v/>
      </c>
      <c r="K50" s="29" t="n"/>
      <c r="L50" s="29" t="n"/>
      <c r="M50" s="21">
        <f>IF(B50="","",VALUE(LEFT(B50,4)))</f>
        <v/>
      </c>
      <c r="N50" s="21">
        <f>IF(B50="","",VALUE(MID(B50,6,2)))</f>
        <v/>
      </c>
    </row>
    <row r="51" ht="20" customHeight="1">
      <c r="A51" s="21">
        <f>IF(B51="","",ROW()-3)</f>
        <v/>
      </c>
      <c r="B51" s="29" t="n"/>
      <c r="C51" s="29" t="n"/>
      <c r="D51" s="41" t="n"/>
      <c r="E51" s="41" t="n"/>
      <c r="F51" s="17">
        <f>IF(OR(D51="",E51=""),"",D51-E51)</f>
        <v/>
      </c>
      <c r="G51" s="19">
        <f>IF(OR(D51="",D51=0),"",F51/D51)</f>
        <v/>
      </c>
      <c r="H51" s="33" t="n"/>
      <c r="I51" s="13">
        <f>IF(OR(E51="",H51="",H51=0),"",INT(E51/H51))</f>
        <v/>
      </c>
      <c r="J51" s="17">
        <f>IF(OR(E51="",H51="",I51=""),"",E51-I51*H51)</f>
        <v/>
      </c>
      <c r="K51" s="29" t="n"/>
      <c r="L51" s="29" t="n"/>
      <c r="M51" s="21">
        <f>IF(B51="","",VALUE(LEFT(B51,4)))</f>
        <v/>
      </c>
      <c r="N51" s="21">
        <f>IF(B51="","",VALUE(MID(B51,6,2)))</f>
        <v/>
      </c>
    </row>
    <row r="52" ht="20" customHeight="1">
      <c r="A52" s="21">
        <f>IF(B52="","",ROW()-3)</f>
        <v/>
      </c>
      <c r="B52" s="29" t="n"/>
      <c r="C52" s="29" t="n"/>
      <c r="D52" s="41" t="n"/>
      <c r="E52" s="41" t="n"/>
      <c r="F52" s="17">
        <f>IF(OR(D52="",E52=""),"",D52-E52)</f>
        <v/>
      </c>
      <c r="G52" s="19">
        <f>IF(OR(D52="",D52=0),"",F52/D52)</f>
        <v/>
      </c>
      <c r="H52" s="33" t="n"/>
      <c r="I52" s="13">
        <f>IF(OR(E52="",H52="",H52=0),"",INT(E52/H52))</f>
        <v/>
      </c>
      <c r="J52" s="17">
        <f>IF(OR(E52="",H52="",I52=""),"",E52-I52*H52)</f>
        <v/>
      </c>
      <c r="K52" s="29" t="n"/>
      <c r="L52" s="29" t="n"/>
      <c r="M52" s="21">
        <f>IF(B52="","",VALUE(LEFT(B52,4)))</f>
        <v/>
      </c>
      <c r="N52" s="21">
        <f>IF(B52="","",VALUE(MID(B52,6,2)))</f>
        <v/>
      </c>
    </row>
    <row r="53" ht="20" customHeight="1">
      <c r="A53" s="21">
        <f>IF(B53="","",ROW()-3)</f>
        <v/>
      </c>
      <c r="B53" s="29" t="n"/>
      <c r="C53" s="29" t="n"/>
      <c r="D53" s="41" t="n"/>
      <c r="E53" s="41" t="n"/>
      <c r="F53" s="17">
        <f>IF(OR(D53="",E53=""),"",D53-E53)</f>
        <v/>
      </c>
      <c r="G53" s="19">
        <f>IF(OR(D53="",D53=0),"",F53/D53)</f>
        <v/>
      </c>
      <c r="H53" s="33" t="n"/>
      <c r="I53" s="13">
        <f>IF(OR(E53="",H53="",H53=0),"",INT(E53/H53))</f>
        <v/>
      </c>
      <c r="J53" s="17">
        <f>IF(OR(E53="",H53="",I53=""),"",E53-I53*H53)</f>
        <v/>
      </c>
      <c r="K53" s="29" t="n"/>
      <c r="L53" s="29" t="n"/>
      <c r="M53" s="21">
        <f>IF(B53="","",VALUE(LEFT(B53,4)))</f>
        <v/>
      </c>
      <c r="N53" s="21">
        <f>IF(B53="","",VALUE(MID(B53,6,2)))</f>
        <v/>
      </c>
    </row>
    <row r="54" ht="20" customHeight="1">
      <c r="A54" s="21">
        <f>IF(B54="","",ROW()-3)</f>
        <v/>
      </c>
      <c r="B54" s="29" t="n"/>
      <c r="C54" s="29" t="n"/>
      <c r="D54" s="41" t="n"/>
      <c r="E54" s="41" t="n"/>
      <c r="F54" s="17">
        <f>IF(OR(D54="",E54=""),"",D54-E54)</f>
        <v/>
      </c>
      <c r="G54" s="19">
        <f>IF(OR(D54="",D54=0),"",F54/D54)</f>
        <v/>
      </c>
      <c r="H54" s="33" t="n"/>
      <c r="I54" s="13">
        <f>IF(OR(E54="",H54="",H54=0),"",INT(E54/H54))</f>
        <v/>
      </c>
      <c r="J54" s="17">
        <f>IF(OR(E54="",H54="",I54=""),"",E54-I54*H54)</f>
        <v/>
      </c>
      <c r="K54" s="29" t="n"/>
      <c r="L54" s="29" t="n"/>
      <c r="M54" s="21">
        <f>IF(B54="","",VALUE(LEFT(B54,4)))</f>
        <v/>
      </c>
      <c r="N54" s="21">
        <f>IF(B54="","",VALUE(MID(B54,6,2)))</f>
        <v/>
      </c>
    </row>
    <row r="55" ht="20" customHeight="1">
      <c r="A55" s="21">
        <f>IF(B55="","",ROW()-3)</f>
        <v/>
      </c>
      <c r="B55" s="29" t="n"/>
      <c r="C55" s="29" t="n"/>
      <c r="D55" s="41" t="n"/>
      <c r="E55" s="41" t="n"/>
      <c r="F55" s="17">
        <f>IF(OR(D55="",E55=""),"",D55-E55)</f>
        <v/>
      </c>
      <c r="G55" s="19">
        <f>IF(OR(D55="",D55=0),"",F55/D55)</f>
        <v/>
      </c>
      <c r="H55" s="33" t="n"/>
      <c r="I55" s="13">
        <f>IF(OR(E55="",H55="",H55=0),"",INT(E55/H55))</f>
        <v/>
      </c>
      <c r="J55" s="17">
        <f>IF(OR(E55="",H55="",I55=""),"",E55-I55*H55)</f>
        <v/>
      </c>
      <c r="K55" s="29" t="n"/>
      <c r="L55" s="29" t="n"/>
      <c r="M55" s="21">
        <f>IF(B55="","",VALUE(LEFT(B55,4)))</f>
        <v/>
      </c>
      <c r="N55" s="21">
        <f>IF(B55="","",VALUE(MID(B55,6,2)))</f>
        <v/>
      </c>
    </row>
    <row r="56" ht="20" customHeight="1">
      <c r="A56" s="21">
        <f>IF(B56="","",ROW()-3)</f>
        <v/>
      </c>
      <c r="B56" s="29" t="n"/>
      <c r="C56" s="29" t="n"/>
      <c r="D56" s="41" t="n"/>
      <c r="E56" s="41" t="n"/>
      <c r="F56" s="17">
        <f>IF(OR(D56="",E56=""),"",D56-E56)</f>
        <v/>
      </c>
      <c r="G56" s="19">
        <f>IF(OR(D56="",D56=0),"",F56/D56)</f>
        <v/>
      </c>
      <c r="H56" s="33" t="n"/>
      <c r="I56" s="13">
        <f>IF(OR(E56="",H56="",H56=0),"",INT(E56/H56))</f>
        <v/>
      </c>
      <c r="J56" s="17">
        <f>IF(OR(E56="",H56="",I56=""),"",E56-I56*H56)</f>
        <v/>
      </c>
      <c r="K56" s="29" t="n"/>
      <c r="L56" s="29" t="n"/>
      <c r="M56" s="21">
        <f>IF(B56="","",VALUE(LEFT(B56,4)))</f>
        <v/>
      </c>
      <c r="N56" s="21">
        <f>IF(B56="","",VALUE(MID(B56,6,2)))</f>
        <v/>
      </c>
    </row>
    <row r="57" ht="20" customHeight="1">
      <c r="A57" s="21">
        <f>IF(B57="","",ROW()-3)</f>
        <v/>
      </c>
      <c r="B57" s="29" t="n"/>
      <c r="C57" s="29" t="n"/>
      <c r="D57" s="41" t="n"/>
      <c r="E57" s="41" t="n"/>
      <c r="F57" s="17">
        <f>IF(OR(D57="",E57=""),"",D57-E57)</f>
        <v/>
      </c>
      <c r="G57" s="19">
        <f>IF(OR(D57="",D57=0),"",F57/D57)</f>
        <v/>
      </c>
      <c r="H57" s="33" t="n"/>
      <c r="I57" s="13">
        <f>IF(OR(E57="",H57="",H57=0),"",INT(E57/H57))</f>
        <v/>
      </c>
      <c r="J57" s="17">
        <f>IF(OR(E57="",H57="",I57=""),"",E57-I57*H57)</f>
        <v/>
      </c>
      <c r="K57" s="29" t="n"/>
      <c r="L57" s="29" t="n"/>
      <c r="M57" s="21">
        <f>IF(B57="","",VALUE(LEFT(B57,4)))</f>
        <v/>
      </c>
      <c r="N57" s="21">
        <f>IF(B57="","",VALUE(MID(B57,6,2)))</f>
        <v/>
      </c>
    </row>
    <row r="58" ht="20" customHeight="1">
      <c r="A58" s="21">
        <f>IF(B58="","",ROW()-3)</f>
        <v/>
      </c>
      <c r="B58" s="29" t="n"/>
      <c r="C58" s="29" t="n"/>
      <c r="D58" s="41" t="n"/>
      <c r="E58" s="41" t="n"/>
      <c r="F58" s="17">
        <f>IF(OR(D58="",E58=""),"",D58-E58)</f>
        <v/>
      </c>
      <c r="G58" s="19">
        <f>IF(OR(D58="",D58=0),"",F58/D58)</f>
        <v/>
      </c>
      <c r="H58" s="33" t="n"/>
      <c r="I58" s="13">
        <f>IF(OR(E58="",H58="",H58=0),"",INT(E58/H58))</f>
        <v/>
      </c>
      <c r="J58" s="17">
        <f>IF(OR(E58="",H58="",I58=""),"",E58-I58*H58)</f>
        <v/>
      </c>
      <c r="K58" s="29" t="n"/>
      <c r="L58" s="29" t="n"/>
      <c r="M58" s="21">
        <f>IF(B58="","",VALUE(LEFT(B58,4)))</f>
        <v/>
      </c>
      <c r="N58" s="21">
        <f>IF(B58="","",VALUE(MID(B58,6,2)))</f>
        <v/>
      </c>
    </row>
    <row r="59" ht="20" customHeight="1">
      <c r="A59" s="21">
        <f>IF(B59="","",ROW()-3)</f>
        <v/>
      </c>
      <c r="B59" s="29" t="n"/>
      <c r="C59" s="29" t="n"/>
      <c r="D59" s="41" t="n"/>
      <c r="E59" s="41" t="n"/>
      <c r="F59" s="17">
        <f>IF(OR(D59="",E59=""),"",D59-E59)</f>
        <v/>
      </c>
      <c r="G59" s="19">
        <f>IF(OR(D59="",D59=0),"",F59/D59)</f>
        <v/>
      </c>
      <c r="H59" s="33" t="n"/>
      <c r="I59" s="13">
        <f>IF(OR(E59="",H59="",H59=0),"",INT(E59/H59))</f>
        <v/>
      </c>
      <c r="J59" s="17">
        <f>IF(OR(E59="",H59="",I59=""),"",E59-I59*H59)</f>
        <v/>
      </c>
      <c r="K59" s="29" t="n"/>
      <c r="L59" s="29" t="n"/>
      <c r="M59" s="21">
        <f>IF(B59="","",VALUE(LEFT(B59,4)))</f>
        <v/>
      </c>
      <c r="N59" s="21">
        <f>IF(B59="","",VALUE(MID(B59,6,2)))</f>
        <v/>
      </c>
    </row>
    <row r="60" ht="20" customHeight="1">
      <c r="A60" s="21">
        <f>IF(B60="","",ROW()-3)</f>
        <v/>
      </c>
      <c r="B60" s="29" t="n"/>
      <c r="C60" s="29" t="n"/>
      <c r="D60" s="41" t="n"/>
      <c r="E60" s="41" t="n"/>
      <c r="F60" s="17">
        <f>IF(OR(D60="",E60=""),"",D60-E60)</f>
        <v/>
      </c>
      <c r="G60" s="19">
        <f>IF(OR(D60="",D60=0),"",F60/D60)</f>
        <v/>
      </c>
      <c r="H60" s="33" t="n"/>
      <c r="I60" s="13">
        <f>IF(OR(E60="",H60="",H60=0),"",INT(E60/H60))</f>
        <v/>
      </c>
      <c r="J60" s="17">
        <f>IF(OR(E60="",H60="",I60=""),"",E60-I60*H60)</f>
        <v/>
      </c>
      <c r="K60" s="29" t="n"/>
      <c r="L60" s="29" t="n"/>
      <c r="M60" s="21">
        <f>IF(B60="","",VALUE(LEFT(B60,4)))</f>
        <v/>
      </c>
      <c r="N60" s="21">
        <f>IF(B60="","",VALUE(MID(B60,6,2)))</f>
        <v/>
      </c>
    </row>
    <row r="61" ht="20" customHeight="1">
      <c r="A61" s="21">
        <f>IF(B61="","",ROW()-3)</f>
        <v/>
      </c>
      <c r="B61" s="29" t="n"/>
      <c r="C61" s="29" t="n"/>
      <c r="D61" s="41" t="n"/>
      <c r="E61" s="41" t="n"/>
      <c r="F61" s="17">
        <f>IF(OR(D61="",E61=""),"",D61-E61)</f>
        <v/>
      </c>
      <c r="G61" s="19">
        <f>IF(OR(D61="",D61=0),"",F61/D61)</f>
        <v/>
      </c>
      <c r="H61" s="33" t="n"/>
      <c r="I61" s="13">
        <f>IF(OR(E61="",H61="",H61=0),"",INT(E61/H61))</f>
        <v/>
      </c>
      <c r="J61" s="17">
        <f>IF(OR(E61="",H61="",I61=""),"",E61-I61*H61)</f>
        <v/>
      </c>
      <c r="K61" s="29" t="n"/>
      <c r="L61" s="29" t="n"/>
      <c r="M61" s="21">
        <f>IF(B61="","",VALUE(LEFT(B61,4)))</f>
        <v/>
      </c>
      <c r="N61" s="21">
        <f>IF(B61="","",VALUE(MID(B61,6,2)))</f>
        <v/>
      </c>
    </row>
    <row r="62" ht="20" customHeight="1">
      <c r="A62" s="21">
        <f>IF(B62="","",ROW()-3)</f>
        <v/>
      </c>
      <c r="B62" s="29" t="n"/>
      <c r="C62" s="29" t="n"/>
      <c r="D62" s="41" t="n"/>
      <c r="E62" s="41" t="n"/>
      <c r="F62" s="17">
        <f>IF(OR(D62="",E62=""),"",D62-E62)</f>
        <v/>
      </c>
      <c r="G62" s="19">
        <f>IF(OR(D62="",D62=0),"",F62/D62)</f>
        <v/>
      </c>
      <c r="H62" s="33" t="n"/>
      <c r="I62" s="13">
        <f>IF(OR(E62="",H62="",H62=0),"",INT(E62/H62))</f>
        <v/>
      </c>
      <c r="J62" s="17">
        <f>IF(OR(E62="",H62="",I62=""),"",E62-I62*H62)</f>
        <v/>
      </c>
      <c r="K62" s="29" t="n"/>
      <c r="L62" s="29" t="n"/>
      <c r="M62" s="21">
        <f>IF(B62="","",VALUE(LEFT(B62,4)))</f>
        <v/>
      </c>
      <c r="N62" s="21">
        <f>IF(B62="","",VALUE(MID(B62,6,2)))</f>
        <v/>
      </c>
    </row>
    <row r="63" ht="20" customHeight="1">
      <c r="A63" s="21">
        <f>IF(B63="","",ROW()-3)</f>
        <v/>
      </c>
      <c r="B63" s="29" t="n"/>
      <c r="C63" s="29" t="n"/>
      <c r="D63" s="41" t="n"/>
      <c r="E63" s="41" t="n"/>
      <c r="F63" s="17">
        <f>IF(OR(D63="",E63=""),"",D63-E63)</f>
        <v/>
      </c>
      <c r="G63" s="19">
        <f>IF(OR(D63="",D63=0),"",F63/D63)</f>
        <v/>
      </c>
      <c r="H63" s="33" t="n"/>
      <c r="I63" s="13">
        <f>IF(OR(E63="",H63="",H63=0),"",INT(E63/H63))</f>
        <v/>
      </c>
      <c r="J63" s="17">
        <f>IF(OR(E63="",H63="",I63=""),"",E63-I63*H63)</f>
        <v/>
      </c>
      <c r="K63" s="29" t="n"/>
      <c r="L63" s="29" t="n"/>
      <c r="M63" s="21">
        <f>IF(B63="","",VALUE(LEFT(B63,4)))</f>
        <v/>
      </c>
      <c r="N63" s="21">
        <f>IF(B63="","",VALUE(MID(B63,6,2)))</f>
        <v/>
      </c>
    </row>
    <row r="64" ht="20" customHeight="1">
      <c r="A64" s="21">
        <f>IF(B64="","",ROW()-3)</f>
        <v/>
      </c>
      <c r="B64" s="29" t="n"/>
      <c r="C64" s="29" t="n"/>
      <c r="D64" s="41" t="n"/>
      <c r="E64" s="41" t="n"/>
      <c r="F64" s="17">
        <f>IF(OR(D64="",E64=""),"",D64-E64)</f>
        <v/>
      </c>
      <c r="G64" s="19">
        <f>IF(OR(D64="",D64=0),"",F64/D64)</f>
        <v/>
      </c>
      <c r="H64" s="33" t="n"/>
      <c r="I64" s="13">
        <f>IF(OR(E64="",H64="",H64=0),"",INT(E64/H64))</f>
        <v/>
      </c>
      <c r="J64" s="17">
        <f>IF(OR(E64="",H64="",I64=""),"",E64-I64*H64)</f>
        <v/>
      </c>
      <c r="K64" s="29" t="n"/>
      <c r="L64" s="29" t="n"/>
      <c r="M64" s="21">
        <f>IF(B64="","",VALUE(LEFT(B64,4)))</f>
        <v/>
      </c>
      <c r="N64" s="21">
        <f>IF(B64="","",VALUE(MID(B64,6,2)))</f>
        <v/>
      </c>
    </row>
    <row r="65" ht="20" customHeight="1">
      <c r="A65" s="21">
        <f>IF(B65="","",ROW()-3)</f>
        <v/>
      </c>
      <c r="B65" s="29" t="n"/>
      <c r="C65" s="29" t="n"/>
      <c r="D65" s="41" t="n"/>
      <c r="E65" s="41" t="n"/>
      <c r="F65" s="17">
        <f>IF(OR(D65="",E65=""),"",D65-E65)</f>
        <v/>
      </c>
      <c r="G65" s="19">
        <f>IF(OR(D65="",D65=0),"",F65/D65)</f>
        <v/>
      </c>
      <c r="H65" s="33" t="n"/>
      <c r="I65" s="13">
        <f>IF(OR(E65="",H65="",H65=0),"",INT(E65/H65))</f>
        <v/>
      </c>
      <c r="J65" s="17">
        <f>IF(OR(E65="",H65="",I65=""),"",E65-I65*H65)</f>
        <v/>
      </c>
      <c r="K65" s="29" t="n"/>
      <c r="L65" s="29" t="n"/>
      <c r="M65" s="21">
        <f>IF(B65="","",VALUE(LEFT(B65,4)))</f>
        <v/>
      </c>
      <c r="N65" s="21">
        <f>IF(B65="","",VALUE(MID(B65,6,2)))</f>
        <v/>
      </c>
    </row>
    <row r="66" ht="20" customHeight="1">
      <c r="A66" s="21">
        <f>IF(B66="","",ROW()-3)</f>
        <v/>
      </c>
      <c r="B66" s="29" t="n"/>
      <c r="C66" s="29" t="n"/>
      <c r="D66" s="41" t="n"/>
      <c r="E66" s="41" t="n"/>
      <c r="F66" s="17">
        <f>IF(OR(D66="",E66=""),"",D66-E66)</f>
        <v/>
      </c>
      <c r="G66" s="19">
        <f>IF(OR(D66="",D66=0),"",F66/D66)</f>
        <v/>
      </c>
      <c r="H66" s="33" t="n"/>
      <c r="I66" s="13">
        <f>IF(OR(E66="",H66="",H66=0),"",INT(E66/H66))</f>
        <v/>
      </c>
      <c r="J66" s="17">
        <f>IF(OR(E66="",H66="",I66=""),"",E66-I66*H66)</f>
        <v/>
      </c>
      <c r="K66" s="29" t="n"/>
      <c r="L66" s="29" t="n"/>
      <c r="M66" s="21">
        <f>IF(B66="","",VALUE(LEFT(B66,4)))</f>
        <v/>
      </c>
      <c r="N66" s="21">
        <f>IF(B66="","",VALUE(MID(B66,6,2)))</f>
        <v/>
      </c>
    </row>
    <row r="67" ht="20" customHeight="1">
      <c r="A67" s="21">
        <f>IF(B67="","",ROW()-3)</f>
        <v/>
      </c>
      <c r="B67" s="29" t="n"/>
      <c r="C67" s="29" t="n"/>
      <c r="D67" s="41" t="n"/>
      <c r="E67" s="41" t="n"/>
      <c r="F67" s="17">
        <f>IF(OR(D67="",E67=""),"",D67-E67)</f>
        <v/>
      </c>
      <c r="G67" s="19">
        <f>IF(OR(D67="",D67=0),"",F67/D67)</f>
        <v/>
      </c>
      <c r="H67" s="33" t="n"/>
      <c r="I67" s="13">
        <f>IF(OR(E67="",H67="",H67=0),"",INT(E67/H67))</f>
        <v/>
      </c>
      <c r="J67" s="17">
        <f>IF(OR(E67="",H67="",I67=""),"",E67-I67*H67)</f>
        <v/>
      </c>
      <c r="K67" s="29" t="n"/>
      <c r="L67" s="29" t="n"/>
      <c r="M67" s="21">
        <f>IF(B67="","",VALUE(LEFT(B67,4)))</f>
        <v/>
      </c>
      <c r="N67" s="21">
        <f>IF(B67="","",VALUE(MID(B67,6,2)))</f>
        <v/>
      </c>
    </row>
    <row r="68" ht="20" customHeight="1">
      <c r="A68" s="21">
        <f>IF(B68="","",ROW()-3)</f>
        <v/>
      </c>
      <c r="B68" s="29" t="n"/>
      <c r="C68" s="29" t="n"/>
      <c r="D68" s="41" t="n"/>
      <c r="E68" s="41" t="n"/>
      <c r="F68" s="17">
        <f>IF(OR(D68="",E68=""),"",D68-E68)</f>
        <v/>
      </c>
      <c r="G68" s="19">
        <f>IF(OR(D68="",D68=0),"",F68/D68)</f>
        <v/>
      </c>
      <c r="H68" s="33" t="n"/>
      <c r="I68" s="13">
        <f>IF(OR(E68="",H68="",H68=0),"",INT(E68/H68))</f>
        <v/>
      </c>
      <c r="J68" s="17">
        <f>IF(OR(E68="",H68="",I68=""),"",E68-I68*H68)</f>
        <v/>
      </c>
      <c r="K68" s="29" t="n"/>
      <c r="L68" s="29" t="n"/>
      <c r="M68" s="21">
        <f>IF(B68="","",VALUE(LEFT(B68,4)))</f>
        <v/>
      </c>
      <c r="N68" s="21">
        <f>IF(B68="","",VALUE(MID(B68,6,2)))</f>
        <v/>
      </c>
    </row>
    <row r="69" ht="20" customHeight="1">
      <c r="A69" s="21">
        <f>IF(B69="","",ROW()-3)</f>
        <v/>
      </c>
      <c r="B69" s="29" t="n"/>
      <c r="C69" s="29" t="n"/>
      <c r="D69" s="41" t="n"/>
      <c r="E69" s="41" t="n"/>
      <c r="F69" s="17">
        <f>IF(OR(D69="",E69=""),"",D69-E69)</f>
        <v/>
      </c>
      <c r="G69" s="19">
        <f>IF(OR(D69="",D69=0),"",F69/D69)</f>
        <v/>
      </c>
      <c r="H69" s="33" t="n"/>
      <c r="I69" s="13">
        <f>IF(OR(E69="",H69="",H69=0),"",INT(E69/H69))</f>
        <v/>
      </c>
      <c r="J69" s="17">
        <f>IF(OR(E69="",H69="",I69=""),"",E69-I69*H69)</f>
        <v/>
      </c>
      <c r="K69" s="29" t="n"/>
      <c r="L69" s="29" t="n"/>
      <c r="M69" s="21">
        <f>IF(B69="","",VALUE(LEFT(B69,4)))</f>
        <v/>
      </c>
      <c r="N69" s="21">
        <f>IF(B69="","",VALUE(MID(B69,6,2)))</f>
        <v/>
      </c>
    </row>
    <row r="70" ht="20" customHeight="1">
      <c r="A70" s="21">
        <f>IF(B70="","",ROW()-3)</f>
        <v/>
      </c>
      <c r="B70" s="29" t="n"/>
      <c r="C70" s="29" t="n"/>
      <c r="D70" s="41" t="n"/>
      <c r="E70" s="41" t="n"/>
      <c r="F70" s="17">
        <f>IF(OR(D70="",E70=""),"",D70-E70)</f>
        <v/>
      </c>
      <c r="G70" s="19">
        <f>IF(OR(D70="",D70=0),"",F70/D70)</f>
        <v/>
      </c>
      <c r="H70" s="33" t="n"/>
      <c r="I70" s="13">
        <f>IF(OR(E70="",H70="",H70=0),"",INT(E70/H70))</f>
        <v/>
      </c>
      <c r="J70" s="17">
        <f>IF(OR(E70="",H70="",I70=""),"",E70-I70*H70)</f>
        <v/>
      </c>
      <c r="K70" s="29" t="n"/>
      <c r="L70" s="29" t="n"/>
      <c r="M70" s="21">
        <f>IF(B70="","",VALUE(LEFT(B70,4)))</f>
        <v/>
      </c>
      <c r="N70" s="21">
        <f>IF(B70="","",VALUE(MID(B70,6,2)))</f>
        <v/>
      </c>
    </row>
    <row r="71" ht="20" customHeight="1">
      <c r="A71" s="21">
        <f>IF(B71="","",ROW()-3)</f>
        <v/>
      </c>
      <c r="B71" s="29" t="n"/>
      <c r="C71" s="29" t="n"/>
      <c r="D71" s="41" t="n"/>
      <c r="E71" s="41" t="n"/>
      <c r="F71" s="17">
        <f>IF(OR(D71="",E71=""),"",D71-E71)</f>
        <v/>
      </c>
      <c r="G71" s="19">
        <f>IF(OR(D71="",D71=0),"",F71/D71)</f>
        <v/>
      </c>
      <c r="H71" s="33" t="n"/>
      <c r="I71" s="13">
        <f>IF(OR(E71="",H71="",H71=0),"",INT(E71/H71))</f>
        <v/>
      </c>
      <c r="J71" s="17">
        <f>IF(OR(E71="",H71="",I71=""),"",E71-I71*H71)</f>
        <v/>
      </c>
      <c r="K71" s="29" t="n"/>
      <c r="L71" s="29" t="n"/>
      <c r="M71" s="21">
        <f>IF(B71="","",VALUE(LEFT(B71,4)))</f>
        <v/>
      </c>
      <c r="N71" s="21">
        <f>IF(B71="","",VALUE(MID(B71,6,2)))</f>
        <v/>
      </c>
    </row>
    <row r="72" ht="20" customHeight="1">
      <c r="A72" s="21">
        <f>IF(B72="","",ROW()-3)</f>
        <v/>
      </c>
      <c r="B72" s="29" t="n"/>
      <c r="C72" s="29" t="n"/>
      <c r="D72" s="41" t="n"/>
      <c r="E72" s="41" t="n"/>
      <c r="F72" s="17">
        <f>IF(OR(D72="",E72=""),"",D72-E72)</f>
        <v/>
      </c>
      <c r="G72" s="19">
        <f>IF(OR(D72="",D72=0),"",F72/D72)</f>
        <v/>
      </c>
      <c r="H72" s="33" t="n"/>
      <c r="I72" s="13">
        <f>IF(OR(E72="",H72="",H72=0),"",INT(E72/H72))</f>
        <v/>
      </c>
      <c r="J72" s="17">
        <f>IF(OR(E72="",H72="",I72=""),"",E72-I72*H72)</f>
        <v/>
      </c>
      <c r="K72" s="29" t="n"/>
      <c r="L72" s="29" t="n"/>
      <c r="M72" s="21">
        <f>IF(B72="","",VALUE(LEFT(B72,4)))</f>
        <v/>
      </c>
      <c r="N72" s="21">
        <f>IF(B72="","",VALUE(MID(B72,6,2)))</f>
        <v/>
      </c>
    </row>
    <row r="73" ht="20" customHeight="1">
      <c r="A73" s="21">
        <f>IF(B73="","",ROW()-3)</f>
        <v/>
      </c>
      <c r="B73" s="29" t="n"/>
      <c r="C73" s="29" t="n"/>
      <c r="D73" s="41" t="n"/>
      <c r="E73" s="41" t="n"/>
      <c r="F73" s="17">
        <f>IF(OR(D73="",E73=""),"",D73-E73)</f>
        <v/>
      </c>
      <c r="G73" s="19">
        <f>IF(OR(D73="",D73=0),"",F73/D73)</f>
        <v/>
      </c>
      <c r="H73" s="33" t="n"/>
      <c r="I73" s="13">
        <f>IF(OR(E73="",H73="",H73=0),"",INT(E73/H73))</f>
        <v/>
      </c>
      <c r="J73" s="17">
        <f>IF(OR(E73="",H73="",I73=""),"",E73-I73*H73)</f>
        <v/>
      </c>
      <c r="K73" s="29" t="n"/>
      <c r="L73" s="29" t="n"/>
      <c r="M73" s="21">
        <f>IF(B73="","",VALUE(LEFT(B73,4)))</f>
        <v/>
      </c>
      <c r="N73" s="21">
        <f>IF(B73="","",VALUE(MID(B73,6,2)))</f>
        <v/>
      </c>
    </row>
    <row r="74" ht="20" customHeight="1">
      <c r="A74" s="21">
        <f>IF(B74="","",ROW()-3)</f>
        <v/>
      </c>
      <c r="B74" s="29" t="n"/>
      <c r="C74" s="29" t="n"/>
      <c r="D74" s="41" t="n"/>
      <c r="E74" s="41" t="n"/>
      <c r="F74" s="17">
        <f>IF(OR(D74="",E74=""),"",D74-E74)</f>
        <v/>
      </c>
      <c r="G74" s="19">
        <f>IF(OR(D74="",D74=0),"",F74/D74)</f>
        <v/>
      </c>
      <c r="H74" s="33" t="n"/>
      <c r="I74" s="13">
        <f>IF(OR(E74="",H74="",H74=0),"",INT(E74/H74))</f>
        <v/>
      </c>
      <c r="J74" s="17">
        <f>IF(OR(E74="",H74="",I74=""),"",E74-I74*H74)</f>
        <v/>
      </c>
      <c r="K74" s="29" t="n"/>
      <c r="L74" s="29" t="n"/>
      <c r="M74" s="21">
        <f>IF(B74="","",VALUE(LEFT(B74,4)))</f>
        <v/>
      </c>
      <c r="N74" s="21">
        <f>IF(B74="","",VALUE(MID(B74,6,2)))</f>
        <v/>
      </c>
    </row>
    <row r="75" ht="20" customHeight="1">
      <c r="A75" s="21">
        <f>IF(B75="","",ROW()-3)</f>
        <v/>
      </c>
      <c r="B75" s="29" t="n"/>
      <c r="C75" s="29" t="n"/>
      <c r="D75" s="41" t="n"/>
      <c r="E75" s="41" t="n"/>
      <c r="F75" s="17">
        <f>IF(OR(D75="",E75=""),"",D75-E75)</f>
        <v/>
      </c>
      <c r="G75" s="19">
        <f>IF(OR(D75="",D75=0),"",F75/D75)</f>
        <v/>
      </c>
      <c r="H75" s="33" t="n"/>
      <c r="I75" s="13">
        <f>IF(OR(E75="",H75="",H75=0),"",INT(E75/H75))</f>
        <v/>
      </c>
      <c r="J75" s="17">
        <f>IF(OR(E75="",H75="",I75=""),"",E75-I75*H75)</f>
        <v/>
      </c>
      <c r="K75" s="29" t="n"/>
      <c r="L75" s="29" t="n"/>
      <c r="M75" s="21">
        <f>IF(B75="","",VALUE(LEFT(B75,4)))</f>
        <v/>
      </c>
      <c r="N75" s="21">
        <f>IF(B75="","",VALUE(MID(B75,6,2)))</f>
        <v/>
      </c>
    </row>
    <row r="76" ht="20" customHeight="1">
      <c r="A76" s="21">
        <f>IF(B76="","",ROW()-3)</f>
        <v/>
      </c>
      <c r="B76" s="29" t="n"/>
      <c r="C76" s="29" t="n"/>
      <c r="D76" s="41" t="n"/>
      <c r="E76" s="41" t="n"/>
      <c r="F76" s="17">
        <f>IF(OR(D76="",E76=""),"",D76-E76)</f>
        <v/>
      </c>
      <c r="G76" s="19">
        <f>IF(OR(D76="",D76=0),"",F76/D76)</f>
        <v/>
      </c>
      <c r="H76" s="33" t="n"/>
      <c r="I76" s="13">
        <f>IF(OR(E76="",H76="",H76=0),"",INT(E76/H76))</f>
        <v/>
      </c>
      <c r="J76" s="17">
        <f>IF(OR(E76="",H76="",I76=""),"",E76-I76*H76)</f>
        <v/>
      </c>
      <c r="K76" s="29" t="n"/>
      <c r="L76" s="29" t="n"/>
      <c r="M76" s="21">
        <f>IF(B76="","",VALUE(LEFT(B76,4)))</f>
        <v/>
      </c>
      <c r="N76" s="21">
        <f>IF(B76="","",VALUE(MID(B76,6,2)))</f>
        <v/>
      </c>
    </row>
    <row r="77" ht="20" customHeight="1">
      <c r="A77" s="21">
        <f>IF(B77="","",ROW()-3)</f>
        <v/>
      </c>
      <c r="B77" s="29" t="n"/>
      <c r="C77" s="29" t="n"/>
      <c r="D77" s="41" t="n"/>
      <c r="E77" s="41" t="n"/>
      <c r="F77" s="17">
        <f>IF(OR(D77="",E77=""),"",D77-E77)</f>
        <v/>
      </c>
      <c r="G77" s="19">
        <f>IF(OR(D77="",D77=0),"",F77/D77)</f>
        <v/>
      </c>
      <c r="H77" s="33" t="n"/>
      <c r="I77" s="13">
        <f>IF(OR(E77="",H77="",H77=0),"",INT(E77/H77))</f>
        <v/>
      </c>
      <c r="J77" s="17">
        <f>IF(OR(E77="",H77="",I77=""),"",E77-I77*H77)</f>
        <v/>
      </c>
      <c r="K77" s="29" t="n"/>
      <c r="L77" s="29" t="n"/>
      <c r="M77" s="21">
        <f>IF(B77="","",VALUE(LEFT(B77,4)))</f>
        <v/>
      </c>
      <c r="N77" s="21">
        <f>IF(B77="","",VALUE(MID(B77,6,2)))</f>
        <v/>
      </c>
    </row>
    <row r="78" ht="20" customHeight="1">
      <c r="A78" s="21">
        <f>IF(B78="","",ROW()-3)</f>
        <v/>
      </c>
      <c r="B78" s="29" t="n"/>
      <c r="C78" s="29" t="n"/>
      <c r="D78" s="41" t="n"/>
      <c r="E78" s="41" t="n"/>
      <c r="F78" s="17">
        <f>IF(OR(D78="",E78=""),"",D78-E78)</f>
        <v/>
      </c>
      <c r="G78" s="19">
        <f>IF(OR(D78="",D78=0),"",F78/D78)</f>
        <v/>
      </c>
      <c r="H78" s="33" t="n"/>
      <c r="I78" s="13">
        <f>IF(OR(E78="",H78="",H78=0),"",INT(E78/H78))</f>
        <v/>
      </c>
      <c r="J78" s="17">
        <f>IF(OR(E78="",H78="",I78=""),"",E78-I78*H78)</f>
        <v/>
      </c>
      <c r="K78" s="29" t="n"/>
      <c r="L78" s="29" t="n"/>
      <c r="M78" s="21">
        <f>IF(B78="","",VALUE(LEFT(B78,4)))</f>
        <v/>
      </c>
      <c r="N78" s="21">
        <f>IF(B78="","",VALUE(MID(B78,6,2)))</f>
        <v/>
      </c>
    </row>
    <row r="79" ht="20" customHeight="1">
      <c r="A79" s="21">
        <f>IF(B79="","",ROW()-3)</f>
        <v/>
      </c>
      <c r="B79" s="29" t="n"/>
      <c r="C79" s="29" t="n"/>
      <c r="D79" s="41" t="n"/>
      <c r="E79" s="41" t="n"/>
      <c r="F79" s="17">
        <f>IF(OR(D79="",E79=""),"",D79-E79)</f>
        <v/>
      </c>
      <c r="G79" s="19">
        <f>IF(OR(D79="",D79=0),"",F79/D79)</f>
        <v/>
      </c>
      <c r="H79" s="33" t="n"/>
      <c r="I79" s="13">
        <f>IF(OR(E79="",H79="",H79=0),"",INT(E79/H79))</f>
        <v/>
      </c>
      <c r="J79" s="17">
        <f>IF(OR(E79="",H79="",I79=""),"",E79-I79*H79)</f>
        <v/>
      </c>
      <c r="K79" s="29" t="n"/>
      <c r="L79" s="29" t="n"/>
      <c r="M79" s="21">
        <f>IF(B79="","",VALUE(LEFT(B79,4)))</f>
        <v/>
      </c>
      <c r="N79" s="21">
        <f>IF(B79="","",VALUE(MID(B79,6,2)))</f>
        <v/>
      </c>
    </row>
    <row r="80" ht="20" customHeight="1">
      <c r="A80" s="21">
        <f>IF(B80="","",ROW()-3)</f>
        <v/>
      </c>
      <c r="B80" s="29" t="n"/>
      <c r="C80" s="29" t="n"/>
      <c r="D80" s="41" t="n"/>
      <c r="E80" s="41" t="n"/>
      <c r="F80" s="17">
        <f>IF(OR(D80="",E80=""),"",D80-E80)</f>
        <v/>
      </c>
      <c r="G80" s="19">
        <f>IF(OR(D80="",D80=0),"",F80/D80)</f>
        <v/>
      </c>
      <c r="H80" s="33" t="n"/>
      <c r="I80" s="13">
        <f>IF(OR(E80="",H80="",H80=0),"",INT(E80/H80))</f>
        <v/>
      </c>
      <c r="J80" s="17">
        <f>IF(OR(E80="",H80="",I80=""),"",E80-I80*H80)</f>
        <v/>
      </c>
      <c r="K80" s="29" t="n"/>
      <c r="L80" s="29" t="n"/>
      <c r="M80" s="21">
        <f>IF(B80="","",VALUE(LEFT(B80,4)))</f>
        <v/>
      </c>
      <c r="N80" s="21">
        <f>IF(B80="","",VALUE(MID(B80,6,2)))</f>
        <v/>
      </c>
    </row>
    <row r="81" ht="20" customHeight="1">
      <c r="A81" s="21">
        <f>IF(B81="","",ROW()-3)</f>
        <v/>
      </c>
      <c r="B81" s="29" t="n"/>
      <c r="C81" s="29" t="n"/>
      <c r="D81" s="41" t="n"/>
      <c r="E81" s="41" t="n"/>
      <c r="F81" s="17">
        <f>IF(OR(D81="",E81=""),"",D81-E81)</f>
        <v/>
      </c>
      <c r="G81" s="19">
        <f>IF(OR(D81="",D81=0),"",F81/D81)</f>
        <v/>
      </c>
      <c r="H81" s="33" t="n"/>
      <c r="I81" s="13">
        <f>IF(OR(E81="",H81="",H81=0),"",INT(E81/H81))</f>
        <v/>
      </c>
      <c r="J81" s="17">
        <f>IF(OR(E81="",H81="",I81=""),"",E81-I81*H81)</f>
        <v/>
      </c>
      <c r="K81" s="29" t="n"/>
      <c r="L81" s="29" t="n"/>
      <c r="M81" s="21">
        <f>IF(B81="","",VALUE(LEFT(B81,4)))</f>
        <v/>
      </c>
      <c r="N81" s="21">
        <f>IF(B81="","",VALUE(MID(B81,6,2)))</f>
        <v/>
      </c>
    </row>
    <row r="82" ht="20" customHeight="1">
      <c r="A82" s="21">
        <f>IF(B82="","",ROW()-3)</f>
        <v/>
      </c>
      <c r="B82" s="29" t="n"/>
      <c r="C82" s="29" t="n"/>
      <c r="D82" s="41" t="n"/>
      <c r="E82" s="41" t="n"/>
      <c r="F82" s="17">
        <f>IF(OR(D82="",E82=""),"",D82-E82)</f>
        <v/>
      </c>
      <c r="G82" s="19">
        <f>IF(OR(D82="",D82=0),"",F82/D82)</f>
        <v/>
      </c>
      <c r="H82" s="33" t="n"/>
      <c r="I82" s="13">
        <f>IF(OR(E82="",H82="",H82=0),"",INT(E82/H82))</f>
        <v/>
      </c>
      <c r="J82" s="17">
        <f>IF(OR(E82="",H82="",I82=""),"",E82-I82*H82)</f>
        <v/>
      </c>
      <c r="K82" s="29" t="n"/>
      <c r="L82" s="29" t="n"/>
      <c r="M82" s="21">
        <f>IF(B82="","",VALUE(LEFT(B82,4)))</f>
        <v/>
      </c>
      <c r="N82" s="21">
        <f>IF(B82="","",VALUE(MID(B82,6,2)))</f>
        <v/>
      </c>
    </row>
    <row r="83" ht="20" customHeight="1">
      <c r="A83" s="21">
        <f>IF(B83="","",ROW()-3)</f>
        <v/>
      </c>
      <c r="B83" s="29" t="n"/>
      <c r="C83" s="29" t="n"/>
      <c r="D83" s="41" t="n"/>
      <c r="E83" s="41" t="n"/>
      <c r="F83" s="17">
        <f>IF(OR(D83="",E83=""),"",D83-E83)</f>
        <v/>
      </c>
      <c r="G83" s="19">
        <f>IF(OR(D83="",D83=0),"",F83/D83)</f>
        <v/>
      </c>
      <c r="H83" s="33" t="n"/>
      <c r="I83" s="13">
        <f>IF(OR(E83="",H83="",H83=0),"",INT(E83/H83))</f>
        <v/>
      </c>
      <c r="J83" s="17">
        <f>IF(OR(E83="",H83="",I83=""),"",E83-I83*H83)</f>
        <v/>
      </c>
      <c r="K83" s="29" t="n"/>
      <c r="L83" s="29" t="n"/>
      <c r="M83" s="21">
        <f>IF(B83="","",VALUE(LEFT(B83,4)))</f>
        <v/>
      </c>
      <c r="N83" s="21">
        <f>IF(B83="","",VALUE(MID(B83,6,2)))</f>
        <v/>
      </c>
    </row>
    <row r="84" ht="20" customHeight="1">
      <c r="A84" s="21">
        <f>IF(B84="","",ROW()-3)</f>
        <v/>
      </c>
      <c r="B84" s="29" t="n"/>
      <c r="C84" s="29" t="n"/>
      <c r="D84" s="41" t="n"/>
      <c r="E84" s="41" t="n"/>
      <c r="F84" s="17">
        <f>IF(OR(D84="",E84=""),"",D84-E84)</f>
        <v/>
      </c>
      <c r="G84" s="19">
        <f>IF(OR(D84="",D84=0),"",F84/D84)</f>
        <v/>
      </c>
      <c r="H84" s="33" t="n"/>
      <c r="I84" s="13">
        <f>IF(OR(E84="",H84="",H84=0),"",INT(E84/H84))</f>
        <v/>
      </c>
      <c r="J84" s="17">
        <f>IF(OR(E84="",H84="",I84=""),"",E84-I84*H84)</f>
        <v/>
      </c>
      <c r="K84" s="29" t="n"/>
      <c r="L84" s="29" t="n"/>
      <c r="M84" s="21">
        <f>IF(B84="","",VALUE(LEFT(B84,4)))</f>
        <v/>
      </c>
      <c r="N84" s="21">
        <f>IF(B84="","",VALUE(MID(B84,6,2)))</f>
        <v/>
      </c>
    </row>
    <row r="85" ht="20" customHeight="1">
      <c r="A85" s="21">
        <f>IF(B85="","",ROW()-3)</f>
        <v/>
      </c>
      <c r="B85" s="29" t="n"/>
      <c r="C85" s="29" t="n"/>
      <c r="D85" s="41" t="n"/>
      <c r="E85" s="41" t="n"/>
      <c r="F85" s="17">
        <f>IF(OR(D85="",E85=""),"",D85-E85)</f>
        <v/>
      </c>
      <c r="G85" s="19">
        <f>IF(OR(D85="",D85=0),"",F85/D85)</f>
        <v/>
      </c>
      <c r="H85" s="33" t="n"/>
      <c r="I85" s="13">
        <f>IF(OR(E85="",H85="",H85=0),"",INT(E85/H85))</f>
        <v/>
      </c>
      <c r="J85" s="17">
        <f>IF(OR(E85="",H85="",I85=""),"",E85-I85*H85)</f>
        <v/>
      </c>
      <c r="K85" s="29" t="n"/>
      <c r="L85" s="29" t="n"/>
      <c r="M85" s="21">
        <f>IF(B85="","",VALUE(LEFT(B85,4)))</f>
        <v/>
      </c>
      <c r="N85" s="21">
        <f>IF(B85="","",VALUE(MID(B85,6,2)))</f>
        <v/>
      </c>
    </row>
    <row r="86" ht="20" customHeight="1">
      <c r="A86" s="21">
        <f>IF(B86="","",ROW()-3)</f>
        <v/>
      </c>
      <c r="B86" s="29" t="n"/>
      <c r="C86" s="29" t="n"/>
      <c r="D86" s="41" t="n"/>
      <c r="E86" s="41" t="n"/>
      <c r="F86" s="17">
        <f>IF(OR(D86="",E86=""),"",D86-E86)</f>
        <v/>
      </c>
      <c r="G86" s="19">
        <f>IF(OR(D86="",D86=0),"",F86/D86)</f>
        <v/>
      </c>
      <c r="H86" s="33" t="n"/>
      <c r="I86" s="13">
        <f>IF(OR(E86="",H86="",H86=0),"",INT(E86/H86))</f>
        <v/>
      </c>
      <c r="J86" s="17">
        <f>IF(OR(E86="",H86="",I86=""),"",E86-I86*H86)</f>
        <v/>
      </c>
      <c r="K86" s="29" t="n"/>
      <c r="L86" s="29" t="n"/>
      <c r="M86" s="21">
        <f>IF(B86="","",VALUE(LEFT(B86,4)))</f>
        <v/>
      </c>
      <c r="N86" s="21">
        <f>IF(B86="","",VALUE(MID(B86,6,2)))</f>
        <v/>
      </c>
    </row>
    <row r="87" ht="20" customHeight="1">
      <c r="A87" s="21">
        <f>IF(B87="","",ROW()-3)</f>
        <v/>
      </c>
      <c r="B87" s="29" t="n"/>
      <c r="C87" s="29" t="n"/>
      <c r="D87" s="41" t="n"/>
      <c r="E87" s="41" t="n"/>
      <c r="F87" s="17">
        <f>IF(OR(D87="",E87=""),"",D87-E87)</f>
        <v/>
      </c>
      <c r="G87" s="19">
        <f>IF(OR(D87="",D87=0),"",F87/D87)</f>
        <v/>
      </c>
      <c r="H87" s="33" t="n"/>
      <c r="I87" s="13">
        <f>IF(OR(E87="",H87="",H87=0),"",INT(E87/H87))</f>
        <v/>
      </c>
      <c r="J87" s="17">
        <f>IF(OR(E87="",H87="",I87=""),"",E87-I87*H87)</f>
        <v/>
      </c>
      <c r="K87" s="29" t="n"/>
      <c r="L87" s="29" t="n"/>
      <c r="M87" s="21">
        <f>IF(B87="","",VALUE(LEFT(B87,4)))</f>
        <v/>
      </c>
      <c r="N87" s="21">
        <f>IF(B87="","",VALUE(MID(B87,6,2)))</f>
        <v/>
      </c>
    </row>
    <row r="88" ht="20" customHeight="1">
      <c r="A88" s="21">
        <f>IF(B88="","",ROW()-3)</f>
        <v/>
      </c>
      <c r="B88" s="29" t="n"/>
      <c r="C88" s="29" t="n"/>
      <c r="D88" s="41" t="n"/>
      <c r="E88" s="41" t="n"/>
      <c r="F88" s="17">
        <f>IF(OR(D88="",E88=""),"",D88-E88)</f>
        <v/>
      </c>
      <c r="G88" s="19">
        <f>IF(OR(D88="",D88=0),"",F88/D88)</f>
        <v/>
      </c>
      <c r="H88" s="33" t="n"/>
      <c r="I88" s="13">
        <f>IF(OR(E88="",H88="",H88=0),"",INT(E88/H88))</f>
        <v/>
      </c>
      <c r="J88" s="17">
        <f>IF(OR(E88="",H88="",I88=""),"",E88-I88*H88)</f>
        <v/>
      </c>
      <c r="K88" s="29" t="n"/>
      <c r="L88" s="29" t="n"/>
      <c r="M88" s="21">
        <f>IF(B88="","",VALUE(LEFT(B88,4)))</f>
        <v/>
      </c>
      <c r="N88" s="21">
        <f>IF(B88="","",VALUE(MID(B88,6,2)))</f>
        <v/>
      </c>
    </row>
    <row r="89" ht="20" customHeight="1">
      <c r="A89" s="21">
        <f>IF(B89="","",ROW()-3)</f>
        <v/>
      </c>
      <c r="B89" s="29" t="n"/>
      <c r="C89" s="29" t="n"/>
      <c r="D89" s="41" t="n"/>
      <c r="E89" s="41" t="n"/>
      <c r="F89" s="17">
        <f>IF(OR(D89="",E89=""),"",D89-E89)</f>
        <v/>
      </c>
      <c r="G89" s="19">
        <f>IF(OR(D89="",D89=0),"",F89/D89)</f>
        <v/>
      </c>
      <c r="H89" s="33" t="n"/>
      <c r="I89" s="13">
        <f>IF(OR(E89="",H89="",H89=0),"",INT(E89/H89))</f>
        <v/>
      </c>
      <c r="J89" s="17">
        <f>IF(OR(E89="",H89="",I89=""),"",E89-I89*H89)</f>
        <v/>
      </c>
      <c r="K89" s="29" t="n"/>
      <c r="L89" s="29" t="n"/>
      <c r="M89" s="21">
        <f>IF(B89="","",VALUE(LEFT(B89,4)))</f>
        <v/>
      </c>
      <c r="N89" s="21">
        <f>IF(B89="","",VALUE(MID(B89,6,2)))</f>
        <v/>
      </c>
    </row>
    <row r="90" ht="20" customHeight="1">
      <c r="A90" s="21">
        <f>IF(B90="","",ROW()-3)</f>
        <v/>
      </c>
      <c r="B90" s="29" t="n"/>
      <c r="C90" s="29" t="n"/>
      <c r="D90" s="41" t="n"/>
      <c r="E90" s="41" t="n"/>
      <c r="F90" s="17">
        <f>IF(OR(D90="",E90=""),"",D90-E90)</f>
        <v/>
      </c>
      <c r="G90" s="19">
        <f>IF(OR(D90="",D90=0),"",F90/D90)</f>
        <v/>
      </c>
      <c r="H90" s="33" t="n"/>
      <c r="I90" s="13">
        <f>IF(OR(E90="",H90="",H90=0),"",INT(E90/H90))</f>
        <v/>
      </c>
      <c r="J90" s="17">
        <f>IF(OR(E90="",H90="",I90=""),"",E90-I90*H90)</f>
        <v/>
      </c>
      <c r="K90" s="29" t="n"/>
      <c r="L90" s="29" t="n"/>
      <c r="M90" s="21">
        <f>IF(B90="","",VALUE(LEFT(B90,4)))</f>
        <v/>
      </c>
      <c r="N90" s="21">
        <f>IF(B90="","",VALUE(MID(B90,6,2)))</f>
        <v/>
      </c>
    </row>
    <row r="91" ht="20" customHeight="1">
      <c r="A91" s="21">
        <f>IF(B91="","",ROW()-3)</f>
        <v/>
      </c>
      <c r="B91" s="29" t="n"/>
      <c r="C91" s="29" t="n"/>
      <c r="D91" s="41" t="n"/>
      <c r="E91" s="41" t="n"/>
      <c r="F91" s="17">
        <f>IF(OR(D91="",E91=""),"",D91-E91)</f>
        <v/>
      </c>
      <c r="G91" s="19">
        <f>IF(OR(D91="",D91=0),"",F91/D91)</f>
        <v/>
      </c>
      <c r="H91" s="33" t="n"/>
      <c r="I91" s="13">
        <f>IF(OR(E91="",H91="",H91=0),"",INT(E91/H91))</f>
        <v/>
      </c>
      <c r="J91" s="17">
        <f>IF(OR(E91="",H91="",I91=""),"",E91-I91*H91)</f>
        <v/>
      </c>
      <c r="K91" s="29" t="n"/>
      <c r="L91" s="29" t="n"/>
      <c r="M91" s="21">
        <f>IF(B91="","",VALUE(LEFT(B91,4)))</f>
        <v/>
      </c>
      <c r="N91" s="21">
        <f>IF(B91="","",VALUE(MID(B91,6,2)))</f>
        <v/>
      </c>
    </row>
    <row r="92" ht="20" customHeight="1">
      <c r="A92" s="21">
        <f>IF(B92="","",ROW()-3)</f>
        <v/>
      </c>
      <c r="B92" s="29" t="n"/>
      <c r="C92" s="29" t="n"/>
      <c r="D92" s="41" t="n"/>
      <c r="E92" s="41" t="n"/>
      <c r="F92" s="17">
        <f>IF(OR(D92="",E92=""),"",D92-E92)</f>
        <v/>
      </c>
      <c r="G92" s="19">
        <f>IF(OR(D92="",D92=0),"",F92/D92)</f>
        <v/>
      </c>
      <c r="H92" s="33" t="n"/>
      <c r="I92" s="13">
        <f>IF(OR(E92="",H92="",H92=0),"",INT(E92/H92))</f>
        <v/>
      </c>
      <c r="J92" s="17">
        <f>IF(OR(E92="",H92="",I92=""),"",E92-I92*H92)</f>
        <v/>
      </c>
      <c r="K92" s="29" t="n"/>
      <c r="L92" s="29" t="n"/>
      <c r="M92" s="21">
        <f>IF(B92="","",VALUE(LEFT(B92,4)))</f>
        <v/>
      </c>
      <c r="N92" s="21">
        <f>IF(B92="","",VALUE(MID(B92,6,2)))</f>
        <v/>
      </c>
    </row>
    <row r="93" ht="20" customHeight="1">
      <c r="A93" s="21">
        <f>IF(B93="","",ROW()-3)</f>
        <v/>
      </c>
      <c r="B93" s="29" t="n"/>
      <c r="C93" s="29" t="n"/>
      <c r="D93" s="41" t="n"/>
      <c r="E93" s="41" t="n"/>
      <c r="F93" s="17">
        <f>IF(OR(D93="",E93=""),"",D93-E93)</f>
        <v/>
      </c>
      <c r="G93" s="19">
        <f>IF(OR(D93="",D93=0),"",F93/D93)</f>
        <v/>
      </c>
      <c r="H93" s="33" t="n"/>
      <c r="I93" s="13">
        <f>IF(OR(E93="",H93="",H93=0),"",INT(E93/H93))</f>
        <v/>
      </c>
      <c r="J93" s="17">
        <f>IF(OR(E93="",H93="",I93=""),"",E93-I93*H93)</f>
        <v/>
      </c>
      <c r="K93" s="29" t="n"/>
      <c r="L93" s="29" t="n"/>
      <c r="M93" s="21">
        <f>IF(B93="","",VALUE(LEFT(B93,4)))</f>
        <v/>
      </c>
      <c r="N93" s="21">
        <f>IF(B93="","",VALUE(MID(B93,6,2)))</f>
        <v/>
      </c>
    </row>
    <row r="94" ht="20" customHeight="1">
      <c r="A94" s="21">
        <f>IF(B94="","",ROW()-3)</f>
        <v/>
      </c>
      <c r="B94" s="29" t="n"/>
      <c r="C94" s="29" t="n"/>
      <c r="D94" s="41" t="n"/>
      <c r="E94" s="41" t="n"/>
      <c r="F94" s="17">
        <f>IF(OR(D94="",E94=""),"",D94-E94)</f>
        <v/>
      </c>
      <c r="G94" s="19">
        <f>IF(OR(D94="",D94=0),"",F94/D94)</f>
        <v/>
      </c>
      <c r="H94" s="33" t="n"/>
      <c r="I94" s="13">
        <f>IF(OR(E94="",H94="",H94=0),"",INT(E94/H94))</f>
        <v/>
      </c>
      <c r="J94" s="17">
        <f>IF(OR(E94="",H94="",I94=""),"",E94-I94*H94)</f>
        <v/>
      </c>
      <c r="K94" s="29" t="n"/>
      <c r="L94" s="29" t="n"/>
      <c r="M94" s="21">
        <f>IF(B94="","",VALUE(LEFT(B94,4)))</f>
        <v/>
      </c>
      <c r="N94" s="21">
        <f>IF(B94="","",VALUE(MID(B94,6,2)))</f>
        <v/>
      </c>
    </row>
    <row r="95" ht="20" customHeight="1">
      <c r="A95" s="21">
        <f>IF(B95="","",ROW()-3)</f>
        <v/>
      </c>
      <c r="B95" s="29" t="n"/>
      <c r="C95" s="29" t="n"/>
      <c r="D95" s="41" t="n"/>
      <c r="E95" s="41" t="n"/>
      <c r="F95" s="17">
        <f>IF(OR(D95="",E95=""),"",D95-E95)</f>
        <v/>
      </c>
      <c r="G95" s="19">
        <f>IF(OR(D95="",D95=0),"",F95/D95)</f>
        <v/>
      </c>
      <c r="H95" s="33" t="n"/>
      <c r="I95" s="13">
        <f>IF(OR(E95="",H95="",H95=0),"",INT(E95/H95))</f>
        <v/>
      </c>
      <c r="J95" s="17">
        <f>IF(OR(E95="",H95="",I95=""),"",E95-I95*H95)</f>
        <v/>
      </c>
      <c r="K95" s="29" t="n"/>
      <c r="L95" s="29" t="n"/>
      <c r="M95" s="21">
        <f>IF(B95="","",VALUE(LEFT(B95,4)))</f>
        <v/>
      </c>
      <c r="N95" s="21">
        <f>IF(B95="","",VALUE(MID(B95,6,2)))</f>
        <v/>
      </c>
    </row>
    <row r="96" ht="20" customHeight="1">
      <c r="A96" s="21">
        <f>IF(B96="","",ROW()-3)</f>
        <v/>
      </c>
      <c r="B96" s="29" t="n"/>
      <c r="C96" s="29" t="n"/>
      <c r="D96" s="41" t="n"/>
      <c r="E96" s="41" t="n"/>
      <c r="F96" s="17">
        <f>IF(OR(D96="",E96=""),"",D96-E96)</f>
        <v/>
      </c>
      <c r="G96" s="19">
        <f>IF(OR(D96="",D96=0),"",F96/D96)</f>
        <v/>
      </c>
      <c r="H96" s="33" t="n"/>
      <c r="I96" s="13">
        <f>IF(OR(E96="",H96="",H96=0),"",INT(E96/H96))</f>
        <v/>
      </c>
      <c r="J96" s="17">
        <f>IF(OR(E96="",H96="",I96=""),"",E96-I96*H96)</f>
        <v/>
      </c>
      <c r="K96" s="29" t="n"/>
      <c r="L96" s="29" t="n"/>
      <c r="M96" s="21">
        <f>IF(B96="","",VALUE(LEFT(B96,4)))</f>
        <v/>
      </c>
      <c r="N96" s="21">
        <f>IF(B96="","",VALUE(MID(B96,6,2)))</f>
        <v/>
      </c>
    </row>
    <row r="97" ht="20" customHeight="1">
      <c r="A97" s="21">
        <f>IF(B97="","",ROW()-3)</f>
        <v/>
      </c>
      <c r="B97" s="29" t="n"/>
      <c r="C97" s="29" t="n"/>
      <c r="D97" s="41" t="n"/>
      <c r="E97" s="41" t="n"/>
      <c r="F97" s="17">
        <f>IF(OR(D97="",E97=""),"",D97-E97)</f>
        <v/>
      </c>
      <c r="G97" s="19">
        <f>IF(OR(D97="",D97=0),"",F97/D97)</f>
        <v/>
      </c>
      <c r="H97" s="33" t="n"/>
      <c r="I97" s="13">
        <f>IF(OR(E97="",H97="",H97=0),"",INT(E97/H97))</f>
        <v/>
      </c>
      <c r="J97" s="17">
        <f>IF(OR(E97="",H97="",I97=""),"",E97-I97*H97)</f>
        <v/>
      </c>
      <c r="K97" s="29" t="n"/>
      <c r="L97" s="29" t="n"/>
      <c r="M97" s="21">
        <f>IF(B97="","",VALUE(LEFT(B97,4)))</f>
        <v/>
      </c>
      <c r="N97" s="21">
        <f>IF(B97="","",VALUE(MID(B97,6,2)))</f>
        <v/>
      </c>
    </row>
    <row r="98" ht="20" customHeight="1">
      <c r="A98" s="21">
        <f>IF(B98="","",ROW()-3)</f>
        <v/>
      </c>
      <c r="B98" s="29" t="n"/>
      <c r="C98" s="29" t="n"/>
      <c r="D98" s="41" t="n"/>
      <c r="E98" s="41" t="n"/>
      <c r="F98" s="17">
        <f>IF(OR(D98="",E98=""),"",D98-E98)</f>
        <v/>
      </c>
      <c r="G98" s="19">
        <f>IF(OR(D98="",D98=0),"",F98/D98)</f>
        <v/>
      </c>
      <c r="H98" s="33" t="n"/>
      <c r="I98" s="13">
        <f>IF(OR(E98="",H98="",H98=0),"",INT(E98/H98))</f>
        <v/>
      </c>
      <c r="J98" s="17">
        <f>IF(OR(E98="",H98="",I98=""),"",E98-I98*H98)</f>
        <v/>
      </c>
      <c r="K98" s="29" t="n"/>
      <c r="L98" s="29" t="n"/>
      <c r="M98" s="21">
        <f>IF(B98="","",VALUE(LEFT(B98,4)))</f>
        <v/>
      </c>
      <c r="N98" s="21">
        <f>IF(B98="","",VALUE(MID(B98,6,2)))</f>
        <v/>
      </c>
    </row>
    <row r="99" ht="20" customHeight="1">
      <c r="A99" s="21">
        <f>IF(B99="","",ROW()-3)</f>
        <v/>
      </c>
      <c r="B99" s="29" t="n"/>
      <c r="C99" s="29" t="n"/>
      <c r="D99" s="41" t="n"/>
      <c r="E99" s="41" t="n"/>
      <c r="F99" s="17">
        <f>IF(OR(D99="",E99=""),"",D99-E99)</f>
        <v/>
      </c>
      <c r="G99" s="19">
        <f>IF(OR(D99="",D99=0),"",F99/D99)</f>
        <v/>
      </c>
      <c r="H99" s="33" t="n"/>
      <c r="I99" s="13">
        <f>IF(OR(E99="",H99="",H99=0),"",INT(E99/H99))</f>
        <v/>
      </c>
      <c r="J99" s="17">
        <f>IF(OR(E99="",H99="",I99=""),"",E99-I99*H99)</f>
        <v/>
      </c>
      <c r="K99" s="29" t="n"/>
      <c r="L99" s="29" t="n"/>
      <c r="M99" s="21">
        <f>IF(B99="","",VALUE(LEFT(B99,4)))</f>
        <v/>
      </c>
      <c r="N99" s="21">
        <f>IF(B99="","",VALUE(MID(B99,6,2)))</f>
        <v/>
      </c>
    </row>
    <row r="100" ht="20" customHeight="1">
      <c r="A100" s="21">
        <f>IF(B100="","",ROW()-3)</f>
        <v/>
      </c>
      <c r="B100" s="29" t="n"/>
      <c r="C100" s="29" t="n"/>
      <c r="D100" s="41" t="n"/>
      <c r="E100" s="41" t="n"/>
      <c r="F100" s="17">
        <f>IF(OR(D100="",E100=""),"",D100-E100)</f>
        <v/>
      </c>
      <c r="G100" s="19">
        <f>IF(OR(D100="",D100=0),"",F100/D100)</f>
        <v/>
      </c>
      <c r="H100" s="33" t="n"/>
      <c r="I100" s="13">
        <f>IF(OR(E100="",H100="",H100=0),"",INT(E100/H100))</f>
        <v/>
      </c>
      <c r="J100" s="17">
        <f>IF(OR(E100="",H100="",I100=""),"",E100-I100*H100)</f>
        <v/>
      </c>
      <c r="K100" s="29" t="n"/>
      <c r="L100" s="29" t="n"/>
      <c r="M100" s="21">
        <f>IF(B100="","",VALUE(LEFT(B100,4)))</f>
        <v/>
      </c>
      <c r="N100" s="21">
        <f>IF(B100="","",VALUE(MID(B100,6,2)))</f>
        <v/>
      </c>
    </row>
    <row r="101" ht="20" customHeight="1">
      <c r="A101" s="21">
        <f>IF(B101="","",ROW()-3)</f>
        <v/>
      </c>
      <c r="B101" s="29" t="n"/>
      <c r="C101" s="29" t="n"/>
      <c r="D101" s="41" t="n"/>
      <c r="E101" s="41" t="n"/>
      <c r="F101" s="17">
        <f>IF(OR(D101="",E101=""),"",D101-E101)</f>
        <v/>
      </c>
      <c r="G101" s="19">
        <f>IF(OR(D101="",D101=0),"",F101/D101)</f>
        <v/>
      </c>
      <c r="H101" s="33" t="n"/>
      <c r="I101" s="13">
        <f>IF(OR(E101="",H101="",H101=0),"",INT(E101/H101))</f>
        <v/>
      </c>
      <c r="J101" s="17">
        <f>IF(OR(E101="",H101="",I101=""),"",E101-I101*H101)</f>
        <v/>
      </c>
      <c r="K101" s="29" t="n"/>
      <c r="L101" s="29" t="n"/>
      <c r="M101" s="21">
        <f>IF(B101="","",VALUE(LEFT(B101,4)))</f>
        <v/>
      </c>
      <c r="N101" s="21">
        <f>IF(B101="","",VALUE(MID(B101,6,2)))</f>
        <v/>
      </c>
    </row>
    <row r="102" ht="20" customHeight="1">
      <c r="A102" s="21">
        <f>IF(B102="","",ROW()-3)</f>
        <v/>
      </c>
      <c r="B102" s="29" t="n"/>
      <c r="C102" s="29" t="n"/>
      <c r="D102" s="41" t="n"/>
      <c r="E102" s="41" t="n"/>
      <c r="F102" s="17">
        <f>IF(OR(D102="",E102=""),"",D102-E102)</f>
        <v/>
      </c>
      <c r="G102" s="19">
        <f>IF(OR(D102="",D102=0),"",F102/D102)</f>
        <v/>
      </c>
      <c r="H102" s="33" t="n"/>
      <c r="I102" s="13">
        <f>IF(OR(E102="",H102="",H102=0),"",INT(E102/H102))</f>
        <v/>
      </c>
      <c r="J102" s="17">
        <f>IF(OR(E102="",H102="",I102=""),"",E102-I102*H102)</f>
        <v/>
      </c>
      <c r="K102" s="29" t="n"/>
      <c r="L102" s="29" t="n"/>
      <c r="M102" s="21">
        <f>IF(B102="","",VALUE(LEFT(B102,4)))</f>
        <v/>
      </c>
      <c r="N102" s="21">
        <f>IF(B102="","",VALUE(MID(B102,6,2)))</f>
        <v/>
      </c>
    </row>
    <row r="103" ht="20" customHeight="1">
      <c r="A103" s="21">
        <f>IF(B103="","",ROW()-3)</f>
        <v/>
      </c>
      <c r="B103" s="29" t="n"/>
      <c r="C103" s="29" t="n"/>
      <c r="D103" s="41" t="n"/>
      <c r="E103" s="41" t="n"/>
      <c r="F103" s="17">
        <f>IF(OR(D103="",E103=""),"",D103-E103)</f>
        <v/>
      </c>
      <c r="G103" s="19">
        <f>IF(OR(D103="",D103=0),"",F103/D103)</f>
        <v/>
      </c>
      <c r="H103" s="33" t="n"/>
      <c r="I103" s="13">
        <f>IF(OR(E103="",H103="",H103=0),"",INT(E103/H103))</f>
        <v/>
      </c>
      <c r="J103" s="17">
        <f>IF(OR(E103="",H103="",I103=""),"",E103-I103*H103)</f>
        <v/>
      </c>
      <c r="K103" s="29" t="n"/>
      <c r="L103" s="29" t="n"/>
      <c r="M103" s="21">
        <f>IF(B103="","",VALUE(LEFT(B103,4)))</f>
        <v/>
      </c>
      <c r="N103" s="21">
        <f>IF(B103="","",VALUE(MID(B103,6,2)))</f>
        <v/>
      </c>
    </row>
    <row r="104" ht="20" customHeight="1">
      <c r="A104" s="21">
        <f>IF(B104="","",ROW()-3)</f>
        <v/>
      </c>
      <c r="B104" s="29" t="n"/>
      <c r="C104" s="29" t="n"/>
      <c r="D104" s="41" t="n"/>
      <c r="E104" s="41" t="n"/>
      <c r="F104" s="17">
        <f>IF(OR(D104="",E104=""),"",D104-E104)</f>
        <v/>
      </c>
      <c r="G104" s="19">
        <f>IF(OR(D104="",D104=0),"",F104/D104)</f>
        <v/>
      </c>
      <c r="H104" s="33" t="n"/>
      <c r="I104" s="13">
        <f>IF(OR(E104="",H104="",H104=0),"",INT(E104/H104))</f>
        <v/>
      </c>
      <c r="J104" s="17">
        <f>IF(OR(E104="",H104="",I104=""),"",E104-I104*H104)</f>
        <v/>
      </c>
      <c r="K104" s="29" t="n"/>
      <c r="L104" s="29" t="n"/>
      <c r="M104" s="21">
        <f>IF(B104="","",VALUE(LEFT(B104,4)))</f>
        <v/>
      </c>
      <c r="N104" s="21">
        <f>IF(B104="","",VALUE(MID(B104,6,2)))</f>
        <v/>
      </c>
    </row>
    <row r="105" ht="20" customHeight="1">
      <c r="A105" s="21">
        <f>IF(B105="","",ROW()-3)</f>
        <v/>
      </c>
      <c r="B105" s="29" t="n"/>
      <c r="C105" s="29" t="n"/>
      <c r="D105" s="41" t="n"/>
      <c r="E105" s="41" t="n"/>
      <c r="F105" s="17">
        <f>IF(OR(D105="",E105=""),"",D105-E105)</f>
        <v/>
      </c>
      <c r="G105" s="19">
        <f>IF(OR(D105="",D105=0),"",F105/D105)</f>
        <v/>
      </c>
      <c r="H105" s="33" t="n"/>
      <c r="I105" s="13">
        <f>IF(OR(E105="",H105="",H105=0),"",INT(E105/H105))</f>
        <v/>
      </c>
      <c r="J105" s="17">
        <f>IF(OR(E105="",H105="",I105=""),"",E105-I105*H105)</f>
        <v/>
      </c>
      <c r="K105" s="29" t="n"/>
      <c r="L105" s="29" t="n"/>
      <c r="M105" s="21">
        <f>IF(B105="","",VALUE(LEFT(B105,4)))</f>
        <v/>
      </c>
      <c r="N105" s="21">
        <f>IF(B105="","",VALUE(MID(B105,6,2)))</f>
        <v/>
      </c>
    </row>
    <row r="106" ht="20" customHeight="1">
      <c r="A106" s="21">
        <f>IF(B106="","",ROW()-3)</f>
        <v/>
      </c>
      <c r="B106" s="29" t="n"/>
      <c r="C106" s="29" t="n"/>
      <c r="D106" s="41" t="n"/>
      <c r="E106" s="41" t="n"/>
      <c r="F106" s="17">
        <f>IF(OR(D106="",E106=""),"",D106-E106)</f>
        <v/>
      </c>
      <c r="G106" s="19">
        <f>IF(OR(D106="",D106=0),"",F106/D106)</f>
        <v/>
      </c>
      <c r="H106" s="33" t="n"/>
      <c r="I106" s="13">
        <f>IF(OR(E106="",H106="",H106=0),"",INT(E106/H106))</f>
        <v/>
      </c>
      <c r="J106" s="17">
        <f>IF(OR(E106="",H106="",I106=""),"",E106-I106*H106)</f>
        <v/>
      </c>
      <c r="K106" s="29" t="n"/>
      <c r="L106" s="29" t="n"/>
      <c r="M106" s="21">
        <f>IF(B106="","",VALUE(LEFT(B106,4)))</f>
        <v/>
      </c>
      <c r="N106" s="21">
        <f>IF(B106="","",VALUE(MID(B106,6,2)))</f>
        <v/>
      </c>
    </row>
    <row r="107" ht="20" customHeight="1">
      <c r="A107" s="21">
        <f>IF(B107="","",ROW()-3)</f>
        <v/>
      </c>
      <c r="B107" s="29" t="n"/>
      <c r="C107" s="29" t="n"/>
      <c r="D107" s="41" t="n"/>
      <c r="E107" s="41" t="n"/>
      <c r="F107" s="17">
        <f>IF(OR(D107="",E107=""),"",D107-E107)</f>
        <v/>
      </c>
      <c r="G107" s="19">
        <f>IF(OR(D107="",D107=0),"",F107/D107)</f>
        <v/>
      </c>
      <c r="H107" s="33" t="n"/>
      <c r="I107" s="13">
        <f>IF(OR(E107="",H107="",H107=0),"",INT(E107/H107))</f>
        <v/>
      </c>
      <c r="J107" s="17">
        <f>IF(OR(E107="",H107="",I107=""),"",E107-I107*H107)</f>
        <v/>
      </c>
      <c r="K107" s="29" t="n"/>
      <c r="L107" s="29" t="n"/>
      <c r="M107" s="21">
        <f>IF(B107="","",VALUE(LEFT(B107,4)))</f>
        <v/>
      </c>
      <c r="N107" s="21">
        <f>IF(B107="","",VALUE(MID(B107,6,2)))</f>
        <v/>
      </c>
    </row>
    <row r="108" ht="20" customHeight="1">
      <c r="A108" s="21">
        <f>IF(B108="","",ROW()-3)</f>
        <v/>
      </c>
      <c r="B108" s="29" t="n"/>
      <c r="C108" s="29" t="n"/>
      <c r="D108" s="41" t="n"/>
      <c r="E108" s="41" t="n"/>
      <c r="F108" s="17">
        <f>IF(OR(D108="",E108=""),"",D108-E108)</f>
        <v/>
      </c>
      <c r="G108" s="19">
        <f>IF(OR(D108="",D108=0),"",F108/D108)</f>
        <v/>
      </c>
      <c r="H108" s="33" t="n"/>
      <c r="I108" s="13">
        <f>IF(OR(E108="",H108="",H108=0),"",INT(E108/H108))</f>
        <v/>
      </c>
      <c r="J108" s="17">
        <f>IF(OR(E108="",H108="",I108=""),"",E108-I108*H108)</f>
        <v/>
      </c>
      <c r="K108" s="29" t="n"/>
      <c r="L108" s="29" t="n"/>
      <c r="M108" s="21">
        <f>IF(B108="","",VALUE(LEFT(B108,4)))</f>
        <v/>
      </c>
      <c r="N108" s="21">
        <f>IF(B108="","",VALUE(MID(B108,6,2)))</f>
        <v/>
      </c>
    </row>
    <row r="109" ht="20" customHeight="1">
      <c r="A109" s="21">
        <f>IF(B109="","",ROW()-3)</f>
        <v/>
      </c>
      <c r="B109" s="29" t="n"/>
      <c r="C109" s="29" t="n"/>
      <c r="D109" s="41" t="n"/>
      <c r="E109" s="41" t="n"/>
      <c r="F109" s="17">
        <f>IF(OR(D109="",E109=""),"",D109-E109)</f>
        <v/>
      </c>
      <c r="G109" s="19">
        <f>IF(OR(D109="",D109=0),"",F109/D109)</f>
        <v/>
      </c>
      <c r="H109" s="33" t="n"/>
      <c r="I109" s="13">
        <f>IF(OR(E109="",H109="",H109=0),"",INT(E109/H109))</f>
        <v/>
      </c>
      <c r="J109" s="17">
        <f>IF(OR(E109="",H109="",I109=""),"",E109-I109*H109)</f>
        <v/>
      </c>
      <c r="K109" s="29" t="n"/>
      <c r="L109" s="29" t="n"/>
      <c r="M109" s="21">
        <f>IF(B109="","",VALUE(LEFT(B109,4)))</f>
        <v/>
      </c>
      <c r="N109" s="21">
        <f>IF(B109="","",VALUE(MID(B109,6,2)))</f>
        <v/>
      </c>
    </row>
    <row r="110" ht="20" customHeight="1">
      <c r="A110" s="21">
        <f>IF(B110="","",ROW()-3)</f>
        <v/>
      </c>
      <c r="B110" s="29" t="n"/>
      <c r="C110" s="29" t="n"/>
      <c r="D110" s="41" t="n"/>
      <c r="E110" s="41" t="n"/>
      <c r="F110" s="17">
        <f>IF(OR(D110="",E110=""),"",D110-E110)</f>
        <v/>
      </c>
      <c r="G110" s="19">
        <f>IF(OR(D110="",D110=0),"",F110/D110)</f>
        <v/>
      </c>
      <c r="H110" s="33" t="n"/>
      <c r="I110" s="13">
        <f>IF(OR(E110="",H110="",H110=0),"",INT(E110/H110))</f>
        <v/>
      </c>
      <c r="J110" s="17">
        <f>IF(OR(E110="",H110="",I110=""),"",E110-I110*H110)</f>
        <v/>
      </c>
      <c r="K110" s="29" t="n"/>
      <c r="L110" s="29" t="n"/>
      <c r="M110" s="21">
        <f>IF(B110="","",VALUE(LEFT(B110,4)))</f>
        <v/>
      </c>
      <c r="N110" s="21">
        <f>IF(B110="","",VALUE(MID(B110,6,2)))</f>
        <v/>
      </c>
    </row>
    <row r="111" ht="20" customHeight="1">
      <c r="A111" s="21">
        <f>IF(B111="","",ROW()-3)</f>
        <v/>
      </c>
      <c r="B111" s="29" t="n"/>
      <c r="C111" s="29" t="n"/>
      <c r="D111" s="41" t="n"/>
      <c r="E111" s="41" t="n"/>
      <c r="F111" s="17">
        <f>IF(OR(D111="",E111=""),"",D111-E111)</f>
        <v/>
      </c>
      <c r="G111" s="19">
        <f>IF(OR(D111="",D111=0),"",F111/D111)</f>
        <v/>
      </c>
      <c r="H111" s="33" t="n"/>
      <c r="I111" s="13">
        <f>IF(OR(E111="",H111="",H111=0),"",INT(E111/H111))</f>
        <v/>
      </c>
      <c r="J111" s="17">
        <f>IF(OR(E111="",H111="",I111=""),"",E111-I111*H111)</f>
        <v/>
      </c>
      <c r="K111" s="29" t="n"/>
      <c r="L111" s="29" t="n"/>
      <c r="M111" s="21">
        <f>IF(B111="","",VALUE(LEFT(B111,4)))</f>
        <v/>
      </c>
      <c r="N111" s="21">
        <f>IF(B111="","",VALUE(MID(B111,6,2)))</f>
        <v/>
      </c>
    </row>
    <row r="112" ht="20" customHeight="1">
      <c r="A112" s="21">
        <f>IF(B112="","",ROW()-3)</f>
        <v/>
      </c>
      <c r="B112" s="29" t="n"/>
      <c r="C112" s="29" t="n"/>
      <c r="D112" s="41" t="n"/>
      <c r="E112" s="41" t="n"/>
      <c r="F112" s="17">
        <f>IF(OR(D112="",E112=""),"",D112-E112)</f>
        <v/>
      </c>
      <c r="G112" s="19">
        <f>IF(OR(D112="",D112=0),"",F112/D112)</f>
        <v/>
      </c>
      <c r="H112" s="33" t="n"/>
      <c r="I112" s="13">
        <f>IF(OR(E112="",H112="",H112=0),"",INT(E112/H112))</f>
        <v/>
      </c>
      <c r="J112" s="17">
        <f>IF(OR(E112="",H112="",I112=""),"",E112-I112*H112)</f>
        <v/>
      </c>
      <c r="K112" s="29" t="n"/>
      <c r="L112" s="29" t="n"/>
      <c r="M112" s="21">
        <f>IF(B112="","",VALUE(LEFT(B112,4)))</f>
        <v/>
      </c>
      <c r="N112" s="21">
        <f>IF(B112="","",VALUE(MID(B112,6,2)))</f>
        <v/>
      </c>
    </row>
    <row r="113" ht="20" customHeight="1">
      <c r="A113" s="21">
        <f>IF(B113="","",ROW()-3)</f>
        <v/>
      </c>
      <c r="B113" s="29" t="n"/>
      <c r="C113" s="29" t="n"/>
      <c r="D113" s="41" t="n"/>
      <c r="E113" s="41" t="n"/>
      <c r="F113" s="17">
        <f>IF(OR(D113="",E113=""),"",D113-E113)</f>
        <v/>
      </c>
      <c r="G113" s="19">
        <f>IF(OR(D113="",D113=0),"",F113/D113)</f>
        <v/>
      </c>
      <c r="H113" s="33" t="n"/>
      <c r="I113" s="13">
        <f>IF(OR(E113="",H113="",H113=0),"",INT(E113/H113))</f>
        <v/>
      </c>
      <c r="J113" s="17">
        <f>IF(OR(E113="",H113="",I113=""),"",E113-I113*H113)</f>
        <v/>
      </c>
      <c r="K113" s="29" t="n"/>
      <c r="L113" s="29" t="n"/>
      <c r="M113" s="21">
        <f>IF(B113="","",VALUE(LEFT(B113,4)))</f>
        <v/>
      </c>
      <c r="N113" s="21">
        <f>IF(B113="","",VALUE(MID(B113,6,2)))</f>
        <v/>
      </c>
    </row>
    <row r="114" ht="20" customHeight="1">
      <c r="A114" s="21">
        <f>IF(B114="","",ROW()-3)</f>
        <v/>
      </c>
      <c r="B114" s="29" t="n"/>
      <c r="C114" s="29" t="n"/>
      <c r="D114" s="41" t="n"/>
      <c r="E114" s="41" t="n"/>
      <c r="F114" s="17">
        <f>IF(OR(D114="",E114=""),"",D114-E114)</f>
        <v/>
      </c>
      <c r="G114" s="19">
        <f>IF(OR(D114="",D114=0),"",F114/D114)</f>
        <v/>
      </c>
      <c r="H114" s="33" t="n"/>
      <c r="I114" s="13">
        <f>IF(OR(E114="",H114="",H114=0),"",INT(E114/H114))</f>
        <v/>
      </c>
      <c r="J114" s="17">
        <f>IF(OR(E114="",H114="",I114=""),"",E114-I114*H114)</f>
        <v/>
      </c>
      <c r="K114" s="29" t="n"/>
      <c r="L114" s="29" t="n"/>
      <c r="M114" s="21">
        <f>IF(B114="","",VALUE(LEFT(B114,4)))</f>
        <v/>
      </c>
      <c r="N114" s="21">
        <f>IF(B114="","",VALUE(MID(B114,6,2)))</f>
        <v/>
      </c>
    </row>
    <row r="115" ht="20" customHeight="1">
      <c r="A115" s="21">
        <f>IF(B115="","",ROW()-3)</f>
        <v/>
      </c>
      <c r="B115" s="29" t="n"/>
      <c r="C115" s="29" t="n"/>
      <c r="D115" s="41" t="n"/>
      <c r="E115" s="41" t="n"/>
      <c r="F115" s="17">
        <f>IF(OR(D115="",E115=""),"",D115-E115)</f>
        <v/>
      </c>
      <c r="G115" s="19">
        <f>IF(OR(D115="",D115=0),"",F115/D115)</f>
        <v/>
      </c>
      <c r="H115" s="33" t="n"/>
      <c r="I115" s="13">
        <f>IF(OR(E115="",H115="",H115=0),"",INT(E115/H115))</f>
        <v/>
      </c>
      <c r="J115" s="17">
        <f>IF(OR(E115="",H115="",I115=""),"",E115-I115*H115)</f>
        <v/>
      </c>
      <c r="K115" s="29" t="n"/>
      <c r="L115" s="29" t="n"/>
      <c r="M115" s="21">
        <f>IF(B115="","",VALUE(LEFT(B115,4)))</f>
        <v/>
      </c>
      <c r="N115" s="21">
        <f>IF(B115="","",VALUE(MID(B115,6,2)))</f>
        <v/>
      </c>
    </row>
    <row r="116" ht="20" customHeight="1">
      <c r="A116" s="21">
        <f>IF(B116="","",ROW()-3)</f>
        <v/>
      </c>
      <c r="B116" s="29" t="n"/>
      <c r="C116" s="29" t="n"/>
      <c r="D116" s="41" t="n"/>
      <c r="E116" s="41" t="n"/>
      <c r="F116" s="17">
        <f>IF(OR(D116="",E116=""),"",D116-E116)</f>
        <v/>
      </c>
      <c r="G116" s="19">
        <f>IF(OR(D116="",D116=0),"",F116/D116)</f>
        <v/>
      </c>
      <c r="H116" s="33" t="n"/>
      <c r="I116" s="13">
        <f>IF(OR(E116="",H116="",H116=0),"",INT(E116/H116))</f>
        <v/>
      </c>
      <c r="J116" s="17">
        <f>IF(OR(E116="",H116="",I116=""),"",E116-I116*H116)</f>
        <v/>
      </c>
      <c r="K116" s="29" t="n"/>
      <c r="L116" s="29" t="n"/>
      <c r="M116" s="21">
        <f>IF(B116="","",VALUE(LEFT(B116,4)))</f>
        <v/>
      </c>
      <c r="N116" s="21">
        <f>IF(B116="","",VALUE(MID(B116,6,2)))</f>
        <v/>
      </c>
    </row>
    <row r="117" ht="20" customHeight="1">
      <c r="A117" s="21">
        <f>IF(B117="","",ROW()-3)</f>
        <v/>
      </c>
      <c r="B117" s="29" t="n"/>
      <c r="C117" s="29" t="n"/>
      <c r="D117" s="41" t="n"/>
      <c r="E117" s="41" t="n"/>
      <c r="F117" s="17">
        <f>IF(OR(D117="",E117=""),"",D117-E117)</f>
        <v/>
      </c>
      <c r="G117" s="19">
        <f>IF(OR(D117="",D117=0),"",F117/D117)</f>
        <v/>
      </c>
      <c r="H117" s="33" t="n"/>
      <c r="I117" s="13">
        <f>IF(OR(E117="",H117="",H117=0),"",INT(E117/H117))</f>
        <v/>
      </c>
      <c r="J117" s="17">
        <f>IF(OR(E117="",H117="",I117=""),"",E117-I117*H117)</f>
        <v/>
      </c>
      <c r="K117" s="29" t="n"/>
      <c r="L117" s="29" t="n"/>
      <c r="M117" s="21">
        <f>IF(B117="","",VALUE(LEFT(B117,4)))</f>
        <v/>
      </c>
      <c r="N117" s="21">
        <f>IF(B117="","",VALUE(MID(B117,6,2)))</f>
        <v/>
      </c>
    </row>
    <row r="118" ht="20" customHeight="1">
      <c r="A118" s="21">
        <f>IF(B118="","",ROW()-3)</f>
        <v/>
      </c>
      <c r="B118" s="29" t="n"/>
      <c r="C118" s="29" t="n"/>
      <c r="D118" s="41" t="n"/>
      <c r="E118" s="41" t="n"/>
      <c r="F118" s="17">
        <f>IF(OR(D118="",E118=""),"",D118-E118)</f>
        <v/>
      </c>
      <c r="G118" s="19">
        <f>IF(OR(D118="",D118=0),"",F118/D118)</f>
        <v/>
      </c>
      <c r="H118" s="33" t="n"/>
      <c r="I118" s="13">
        <f>IF(OR(E118="",H118="",H118=0),"",INT(E118/H118))</f>
        <v/>
      </c>
      <c r="J118" s="17">
        <f>IF(OR(E118="",H118="",I118=""),"",E118-I118*H118)</f>
        <v/>
      </c>
      <c r="K118" s="29" t="n"/>
      <c r="L118" s="29" t="n"/>
      <c r="M118" s="21">
        <f>IF(B118="","",VALUE(LEFT(B118,4)))</f>
        <v/>
      </c>
      <c r="N118" s="21">
        <f>IF(B118="","",VALUE(MID(B118,6,2)))</f>
        <v/>
      </c>
    </row>
    <row r="119" ht="20" customHeight="1">
      <c r="A119" s="21">
        <f>IF(B119="","",ROW()-3)</f>
        <v/>
      </c>
      <c r="B119" s="29" t="n"/>
      <c r="C119" s="29" t="n"/>
      <c r="D119" s="41" t="n"/>
      <c r="E119" s="41" t="n"/>
      <c r="F119" s="17">
        <f>IF(OR(D119="",E119=""),"",D119-E119)</f>
        <v/>
      </c>
      <c r="G119" s="19">
        <f>IF(OR(D119="",D119=0),"",F119/D119)</f>
        <v/>
      </c>
      <c r="H119" s="33" t="n"/>
      <c r="I119" s="13">
        <f>IF(OR(E119="",H119="",H119=0),"",INT(E119/H119))</f>
        <v/>
      </c>
      <c r="J119" s="17">
        <f>IF(OR(E119="",H119="",I119=""),"",E119-I119*H119)</f>
        <v/>
      </c>
      <c r="K119" s="29" t="n"/>
      <c r="L119" s="29" t="n"/>
      <c r="M119" s="21">
        <f>IF(B119="","",VALUE(LEFT(B119,4)))</f>
        <v/>
      </c>
      <c r="N119" s="21">
        <f>IF(B119="","",VALUE(MID(B119,6,2)))</f>
        <v/>
      </c>
    </row>
    <row r="120" ht="20" customHeight="1">
      <c r="A120" s="21">
        <f>IF(B120="","",ROW()-3)</f>
        <v/>
      </c>
      <c r="B120" s="29" t="n"/>
      <c r="C120" s="29" t="n"/>
      <c r="D120" s="41" t="n"/>
      <c r="E120" s="41" t="n"/>
      <c r="F120" s="17">
        <f>IF(OR(D120="",E120=""),"",D120-E120)</f>
        <v/>
      </c>
      <c r="G120" s="19">
        <f>IF(OR(D120="",D120=0),"",F120/D120)</f>
        <v/>
      </c>
      <c r="H120" s="33" t="n"/>
      <c r="I120" s="13">
        <f>IF(OR(E120="",H120="",H120=0),"",INT(E120/H120))</f>
        <v/>
      </c>
      <c r="J120" s="17">
        <f>IF(OR(E120="",H120="",I120=""),"",E120-I120*H120)</f>
        <v/>
      </c>
      <c r="K120" s="29" t="n"/>
      <c r="L120" s="29" t="n"/>
      <c r="M120" s="21">
        <f>IF(B120="","",VALUE(LEFT(B120,4)))</f>
        <v/>
      </c>
      <c r="N120" s="21">
        <f>IF(B120="","",VALUE(MID(B120,6,2)))</f>
        <v/>
      </c>
    </row>
    <row r="121" ht="20" customHeight="1">
      <c r="A121" s="21">
        <f>IF(B121="","",ROW()-3)</f>
        <v/>
      </c>
      <c r="B121" s="29" t="n"/>
      <c r="C121" s="29" t="n"/>
      <c r="D121" s="41" t="n"/>
      <c r="E121" s="41" t="n"/>
      <c r="F121" s="17">
        <f>IF(OR(D121="",E121=""),"",D121-E121)</f>
        <v/>
      </c>
      <c r="G121" s="19">
        <f>IF(OR(D121="",D121=0),"",F121/D121)</f>
        <v/>
      </c>
      <c r="H121" s="33" t="n"/>
      <c r="I121" s="13">
        <f>IF(OR(E121="",H121="",H121=0),"",INT(E121/H121))</f>
        <v/>
      </c>
      <c r="J121" s="17">
        <f>IF(OR(E121="",H121="",I121=""),"",E121-I121*H121)</f>
        <v/>
      </c>
      <c r="K121" s="29" t="n"/>
      <c r="L121" s="29" t="n"/>
      <c r="M121" s="21">
        <f>IF(B121="","",VALUE(LEFT(B121,4)))</f>
        <v/>
      </c>
      <c r="N121" s="21">
        <f>IF(B121="","",VALUE(MID(B121,6,2)))</f>
        <v/>
      </c>
    </row>
    <row r="122" ht="20" customHeight="1">
      <c r="A122" s="21">
        <f>IF(B122="","",ROW()-3)</f>
        <v/>
      </c>
      <c r="B122" s="29" t="n"/>
      <c r="C122" s="29" t="n"/>
      <c r="D122" s="41" t="n"/>
      <c r="E122" s="41" t="n"/>
      <c r="F122" s="17">
        <f>IF(OR(D122="",E122=""),"",D122-E122)</f>
        <v/>
      </c>
      <c r="G122" s="19">
        <f>IF(OR(D122="",D122=0),"",F122/D122)</f>
        <v/>
      </c>
      <c r="H122" s="33" t="n"/>
      <c r="I122" s="13">
        <f>IF(OR(E122="",H122="",H122=0),"",INT(E122/H122))</f>
        <v/>
      </c>
      <c r="J122" s="17">
        <f>IF(OR(E122="",H122="",I122=""),"",E122-I122*H122)</f>
        <v/>
      </c>
      <c r="K122" s="29" t="n"/>
      <c r="L122" s="29" t="n"/>
      <c r="M122" s="21">
        <f>IF(B122="","",VALUE(LEFT(B122,4)))</f>
        <v/>
      </c>
      <c r="N122" s="21">
        <f>IF(B122="","",VALUE(MID(B122,6,2)))</f>
        <v/>
      </c>
    </row>
    <row r="123" ht="20" customHeight="1">
      <c r="A123" s="21">
        <f>IF(B123="","",ROW()-3)</f>
        <v/>
      </c>
      <c r="B123" s="29" t="n"/>
      <c r="C123" s="29" t="n"/>
      <c r="D123" s="41" t="n"/>
      <c r="E123" s="41" t="n"/>
      <c r="F123" s="17">
        <f>IF(OR(D123="",E123=""),"",D123-E123)</f>
        <v/>
      </c>
      <c r="G123" s="19">
        <f>IF(OR(D123="",D123=0),"",F123/D123)</f>
        <v/>
      </c>
      <c r="H123" s="33" t="n"/>
      <c r="I123" s="13">
        <f>IF(OR(E123="",H123="",H123=0),"",INT(E123/H123))</f>
        <v/>
      </c>
      <c r="J123" s="17">
        <f>IF(OR(E123="",H123="",I123=""),"",E123-I123*H123)</f>
        <v/>
      </c>
      <c r="K123" s="29" t="n"/>
      <c r="L123" s="29" t="n"/>
      <c r="M123" s="21">
        <f>IF(B123="","",VALUE(LEFT(B123,4)))</f>
        <v/>
      </c>
      <c r="N123" s="21">
        <f>IF(B123="","",VALUE(MID(B123,6,2)))</f>
        <v/>
      </c>
    </row>
    <row r="124" ht="20" customHeight="1">
      <c r="A124" s="21">
        <f>IF(B124="","",ROW()-3)</f>
        <v/>
      </c>
      <c r="B124" s="29" t="n"/>
      <c r="C124" s="29" t="n"/>
      <c r="D124" s="41" t="n"/>
      <c r="E124" s="41" t="n"/>
      <c r="F124" s="17">
        <f>IF(OR(D124="",E124=""),"",D124-E124)</f>
        <v/>
      </c>
      <c r="G124" s="19">
        <f>IF(OR(D124="",D124=0),"",F124/D124)</f>
        <v/>
      </c>
      <c r="H124" s="33" t="n"/>
      <c r="I124" s="13">
        <f>IF(OR(E124="",H124="",H124=0),"",INT(E124/H124))</f>
        <v/>
      </c>
      <c r="J124" s="17">
        <f>IF(OR(E124="",H124="",I124=""),"",E124-I124*H124)</f>
        <v/>
      </c>
      <c r="K124" s="29" t="n"/>
      <c r="L124" s="29" t="n"/>
      <c r="M124" s="21">
        <f>IF(B124="","",VALUE(LEFT(B124,4)))</f>
        <v/>
      </c>
      <c r="N124" s="21">
        <f>IF(B124="","",VALUE(MID(B124,6,2)))</f>
        <v/>
      </c>
    </row>
    <row r="125" ht="20" customHeight="1">
      <c r="A125" s="21">
        <f>IF(B125="","",ROW()-3)</f>
        <v/>
      </c>
      <c r="B125" s="29" t="n"/>
      <c r="C125" s="29" t="n"/>
      <c r="D125" s="41" t="n"/>
      <c r="E125" s="41" t="n"/>
      <c r="F125" s="17">
        <f>IF(OR(D125="",E125=""),"",D125-E125)</f>
        <v/>
      </c>
      <c r="G125" s="19">
        <f>IF(OR(D125="",D125=0),"",F125/D125)</f>
        <v/>
      </c>
      <c r="H125" s="33" t="n"/>
      <c r="I125" s="13">
        <f>IF(OR(E125="",H125="",H125=0),"",INT(E125/H125))</f>
        <v/>
      </c>
      <c r="J125" s="17">
        <f>IF(OR(E125="",H125="",I125=""),"",E125-I125*H125)</f>
        <v/>
      </c>
      <c r="K125" s="29" t="n"/>
      <c r="L125" s="29" t="n"/>
      <c r="M125" s="21">
        <f>IF(B125="","",VALUE(LEFT(B125,4)))</f>
        <v/>
      </c>
      <c r="N125" s="21">
        <f>IF(B125="","",VALUE(MID(B125,6,2)))</f>
        <v/>
      </c>
    </row>
    <row r="126" ht="20" customHeight="1">
      <c r="A126" s="21">
        <f>IF(B126="","",ROW()-3)</f>
        <v/>
      </c>
      <c r="B126" s="29" t="n"/>
      <c r="C126" s="29" t="n"/>
      <c r="D126" s="41" t="n"/>
      <c r="E126" s="41" t="n"/>
      <c r="F126" s="17">
        <f>IF(OR(D126="",E126=""),"",D126-E126)</f>
        <v/>
      </c>
      <c r="G126" s="19">
        <f>IF(OR(D126="",D126=0),"",F126/D126)</f>
        <v/>
      </c>
      <c r="H126" s="33" t="n"/>
      <c r="I126" s="13">
        <f>IF(OR(E126="",H126="",H126=0),"",INT(E126/H126))</f>
        <v/>
      </c>
      <c r="J126" s="17">
        <f>IF(OR(E126="",H126="",I126=""),"",E126-I126*H126)</f>
        <v/>
      </c>
      <c r="K126" s="29" t="n"/>
      <c r="L126" s="29" t="n"/>
      <c r="M126" s="21">
        <f>IF(B126="","",VALUE(LEFT(B126,4)))</f>
        <v/>
      </c>
      <c r="N126" s="21">
        <f>IF(B126="","",VALUE(MID(B126,6,2)))</f>
        <v/>
      </c>
    </row>
    <row r="127" ht="20" customHeight="1">
      <c r="A127" s="21">
        <f>IF(B127="","",ROW()-3)</f>
        <v/>
      </c>
      <c r="B127" s="29" t="n"/>
      <c r="C127" s="29" t="n"/>
      <c r="D127" s="41" t="n"/>
      <c r="E127" s="41" t="n"/>
      <c r="F127" s="17">
        <f>IF(OR(D127="",E127=""),"",D127-E127)</f>
        <v/>
      </c>
      <c r="G127" s="19">
        <f>IF(OR(D127="",D127=0),"",F127/D127)</f>
        <v/>
      </c>
      <c r="H127" s="33" t="n"/>
      <c r="I127" s="13">
        <f>IF(OR(E127="",H127="",H127=0),"",INT(E127/H127))</f>
        <v/>
      </c>
      <c r="J127" s="17">
        <f>IF(OR(E127="",H127="",I127=""),"",E127-I127*H127)</f>
        <v/>
      </c>
      <c r="K127" s="29" t="n"/>
      <c r="L127" s="29" t="n"/>
      <c r="M127" s="21">
        <f>IF(B127="","",VALUE(LEFT(B127,4)))</f>
        <v/>
      </c>
      <c r="N127" s="21">
        <f>IF(B127="","",VALUE(MID(B127,6,2)))</f>
        <v/>
      </c>
    </row>
    <row r="128" ht="20" customHeight="1">
      <c r="A128" s="21">
        <f>IF(B128="","",ROW()-3)</f>
        <v/>
      </c>
      <c r="B128" s="29" t="n"/>
      <c r="C128" s="29" t="n"/>
      <c r="D128" s="41" t="n"/>
      <c r="E128" s="41" t="n"/>
      <c r="F128" s="17">
        <f>IF(OR(D128="",E128=""),"",D128-E128)</f>
        <v/>
      </c>
      <c r="G128" s="19">
        <f>IF(OR(D128="",D128=0),"",F128/D128)</f>
        <v/>
      </c>
      <c r="H128" s="33" t="n"/>
      <c r="I128" s="13">
        <f>IF(OR(E128="",H128="",H128=0),"",INT(E128/H128))</f>
        <v/>
      </c>
      <c r="J128" s="17">
        <f>IF(OR(E128="",H128="",I128=""),"",E128-I128*H128)</f>
        <v/>
      </c>
      <c r="K128" s="29" t="n"/>
      <c r="L128" s="29" t="n"/>
      <c r="M128" s="21">
        <f>IF(B128="","",VALUE(LEFT(B128,4)))</f>
        <v/>
      </c>
      <c r="N128" s="21">
        <f>IF(B128="","",VALUE(MID(B128,6,2)))</f>
        <v/>
      </c>
    </row>
    <row r="129" ht="20" customHeight="1">
      <c r="A129" s="21">
        <f>IF(B129="","",ROW()-3)</f>
        <v/>
      </c>
      <c r="B129" s="29" t="n"/>
      <c r="C129" s="29" t="n"/>
      <c r="D129" s="41" t="n"/>
      <c r="E129" s="41" t="n"/>
      <c r="F129" s="17">
        <f>IF(OR(D129="",E129=""),"",D129-E129)</f>
        <v/>
      </c>
      <c r="G129" s="19">
        <f>IF(OR(D129="",D129=0),"",F129/D129)</f>
        <v/>
      </c>
      <c r="H129" s="33" t="n"/>
      <c r="I129" s="13">
        <f>IF(OR(E129="",H129="",H129=0),"",INT(E129/H129))</f>
        <v/>
      </c>
      <c r="J129" s="17">
        <f>IF(OR(E129="",H129="",I129=""),"",E129-I129*H129)</f>
        <v/>
      </c>
      <c r="K129" s="29" t="n"/>
      <c r="L129" s="29" t="n"/>
      <c r="M129" s="21">
        <f>IF(B129="","",VALUE(LEFT(B129,4)))</f>
        <v/>
      </c>
      <c r="N129" s="21">
        <f>IF(B129="","",VALUE(MID(B129,6,2)))</f>
        <v/>
      </c>
    </row>
    <row r="130" ht="20" customHeight="1">
      <c r="A130" s="21">
        <f>IF(B130="","",ROW()-3)</f>
        <v/>
      </c>
      <c r="B130" s="29" t="n"/>
      <c r="C130" s="29" t="n"/>
      <c r="D130" s="41" t="n"/>
      <c r="E130" s="41" t="n"/>
      <c r="F130" s="17">
        <f>IF(OR(D130="",E130=""),"",D130-E130)</f>
        <v/>
      </c>
      <c r="G130" s="19">
        <f>IF(OR(D130="",D130=0),"",F130/D130)</f>
        <v/>
      </c>
      <c r="H130" s="33" t="n"/>
      <c r="I130" s="13">
        <f>IF(OR(E130="",H130="",H130=0),"",INT(E130/H130))</f>
        <v/>
      </c>
      <c r="J130" s="17">
        <f>IF(OR(E130="",H130="",I130=""),"",E130-I130*H130)</f>
        <v/>
      </c>
      <c r="K130" s="29" t="n"/>
      <c r="L130" s="29" t="n"/>
      <c r="M130" s="21">
        <f>IF(B130="","",VALUE(LEFT(B130,4)))</f>
        <v/>
      </c>
      <c r="N130" s="21">
        <f>IF(B130="","",VALUE(MID(B130,6,2)))</f>
        <v/>
      </c>
    </row>
    <row r="131" ht="20" customHeight="1">
      <c r="A131" s="21">
        <f>IF(B131="","",ROW()-3)</f>
        <v/>
      </c>
      <c r="B131" s="29" t="n"/>
      <c r="C131" s="29" t="n"/>
      <c r="D131" s="41" t="n"/>
      <c r="E131" s="41" t="n"/>
      <c r="F131" s="17">
        <f>IF(OR(D131="",E131=""),"",D131-E131)</f>
        <v/>
      </c>
      <c r="G131" s="19">
        <f>IF(OR(D131="",D131=0),"",F131/D131)</f>
        <v/>
      </c>
      <c r="H131" s="33" t="n"/>
      <c r="I131" s="13">
        <f>IF(OR(E131="",H131="",H131=0),"",INT(E131/H131))</f>
        <v/>
      </c>
      <c r="J131" s="17">
        <f>IF(OR(E131="",H131="",I131=""),"",E131-I131*H131)</f>
        <v/>
      </c>
      <c r="K131" s="29" t="n"/>
      <c r="L131" s="29" t="n"/>
      <c r="M131" s="21">
        <f>IF(B131="","",VALUE(LEFT(B131,4)))</f>
        <v/>
      </c>
      <c r="N131" s="21">
        <f>IF(B131="","",VALUE(MID(B131,6,2)))</f>
        <v/>
      </c>
    </row>
    <row r="132" ht="20" customHeight="1">
      <c r="A132" s="21">
        <f>IF(B132="","",ROW()-3)</f>
        <v/>
      </c>
      <c r="B132" s="29" t="n"/>
      <c r="C132" s="29" t="n"/>
      <c r="D132" s="41" t="n"/>
      <c r="E132" s="41" t="n"/>
      <c r="F132" s="17">
        <f>IF(OR(D132="",E132=""),"",D132-E132)</f>
        <v/>
      </c>
      <c r="G132" s="19">
        <f>IF(OR(D132="",D132=0),"",F132/D132)</f>
        <v/>
      </c>
      <c r="H132" s="33" t="n"/>
      <c r="I132" s="13">
        <f>IF(OR(E132="",H132="",H132=0),"",INT(E132/H132))</f>
        <v/>
      </c>
      <c r="J132" s="17">
        <f>IF(OR(E132="",H132="",I132=""),"",E132-I132*H132)</f>
        <v/>
      </c>
      <c r="K132" s="29" t="n"/>
      <c r="L132" s="29" t="n"/>
      <c r="M132" s="21">
        <f>IF(B132="","",VALUE(LEFT(B132,4)))</f>
        <v/>
      </c>
      <c r="N132" s="21">
        <f>IF(B132="","",VALUE(MID(B132,6,2)))</f>
        <v/>
      </c>
    </row>
    <row r="133" ht="20" customHeight="1">
      <c r="A133" s="21">
        <f>IF(B133="","",ROW()-3)</f>
        <v/>
      </c>
      <c r="B133" s="29" t="n"/>
      <c r="C133" s="29" t="n"/>
      <c r="D133" s="41" t="n"/>
      <c r="E133" s="41" t="n"/>
      <c r="F133" s="17">
        <f>IF(OR(D133="",E133=""),"",D133-E133)</f>
        <v/>
      </c>
      <c r="G133" s="19">
        <f>IF(OR(D133="",D133=0),"",F133/D133)</f>
        <v/>
      </c>
      <c r="H133" s="33" t="n"/>
      <c r="I133" s="13">
        <f>IF(OR(E133="",H133="",H133=0),"",INT(E133/H133))</f>
        <v/>
      </c>
      <c r="J133" s="17">
        <f>IF(OR(E133="",H133="",I133=""),"",E133-I133*H133)</f>
        <v/>
      </c>
      <c r="K133" s="29" t="n"/>
      <c r="L133" s="29" t="n"/>
      <c r="M133" s="21">
        <f>IF(B133="","",VALUE(LEFT(B133,4)))</f>
        <v/>
      </c>
      <c r="N133" s="21">
        <f>IF(B133="","",VALUE(MID(B133,6,2)))</f>
        <v/>
      </c>
    </row>
    <row r="134" ht="20" customHeight="1">
      <c r="A134" s="21">
        <f>IF(B134="","",ROW()-3)</f>
        <v/>
      </c>
      <c r="B134" s="29" t="n"/>
      <c r="C134" s="29" t="n"/>
      <c r="D134" s="41" t="n"/>
      <c r="E134" s="41" t="n"/>
      <c r="F134" s="17">
        <f>IF(OR(D134="",E134=""),"",D134-E134)</f>
        <v/>
      </c>
      <c r="G134" s="19">
        <f>IF(OR(D134="",D134=0),"",F134/D134)</f>
        <v/>
      </c>
      <c r="H134" s="33" t="n"/>
      <c r="I134" s="13">
        <f>IF(OR(E134="",H134="",H134=0),"",INT(E134/H134))</f>
        <v/>
      </c>
      <c r="J134" s="17">
        <f>IF(OR(E134="",H134="",I134=""),"",E134-I134*H134)</f>
        <v/>
      </c>
      <c r="K134" s="29" t="n"/>
      <c r="L134" s="29" t="n"/>
      <c r="M134" s="21">
        <f>IF(B134="","",VALUE(LEFT(B134,4)))</f>
        <v/>
      </c>
      <c r="N134" s="21">
        <f>IF(B134="","",VALUE(MID(B134,6,2)))</f>
        <v/>
      </c>
    </row>
    <row r="135" ht="20" customHeight="1">
      <c r="A135" s="21">
        <f>IF(B135="","",ROW()-3)</f>
        <v/>
      </c>
      <c r="B135" s="29" t="n"/>
      <c r="C135" s="29" t="n"/>
      <c r="D135" s="41" t="n"/>
      <c r="E135" s="41" t="n"/>
      <c r="F135" s="17">
        <f>IF(OR(D135="",E135=""),"",D135-E135)</f>
        <v/>
      </c>
      <c r="G135" s="19">
        <f>IF(OR(D135="",D135=0),"",F135/D135)</f>
        <v/>
      </c>
      <c r="H135" s="33" t="n"/>
      <c r="I135" s="13">
        <f>IF(OR(E135="",H135="",H135=0),"",INT(E135/H135))</f>
        <v/>
      </c>
      <c r="J135" s="17">
        <f>IF(OR(E135="",H135="",I135=""),"",E135-I135*H135)</f>
        <v/>
      </c>
      <c r="K135" s="29" t="n"/>
      <c r="L135" s="29" t="n"/>
      <c r="M135" s="21">
        <f>IF(B135="","",VALUE(LEFT(B135,4)))</f>
        <v/>
      </c>
      <c r="N135" s="21">
        <f>IF(B135="","",VALUE(MID(B135,6,2)))</f>
        <v/>
      </c>
    </row>
    <row r="136" ht="20" customHeight="1">
      <c r="A136" s="21">
        <f>IF(B136="","",ROW()-3)</f>
        <v/>
      </c>
      <c r="B136" s="29" t="n"/>
      <c r="C136" s="29" t="n"/>
      <c r="D136" s="41" t="n"/>
      <c r="E136" s="41" t="n"/>
      <c r="F136" s="17">
        <f>IF(OR(D136="",E136=""),"",D136-E136)</f>
        <v/>
      </c>
      <c r="G136" s="19">
        <f>IF(OR(D136="",D136=0),"",F136/D136)</f>
        <v/>
      </c>
      <c r="H136" s="33" t="n"/>
      <c r="I136" s="13">
        <f>IF(OR(E136="",H136="",H136=0),"",INT(E136/H136))</f>
        <v/>
      </c>
      <c r="J136" s="17">
        <f>IF(OR(E136="",H136="",I136=""),"",E136-I136*H136)</f>
        <v/>
      </c>
      <c r="K136" s="29" t="n"/>
      <c r="L136" s="29" t="n"/>
      <c r="M136" s="21">
        <f>IF(B136="","",VALUE(LEFT(B136,4)))</f>
        <v/>
      </c>
      <c r="N136" s="21">
        <f>IF(B136="","",VALUE(MID(B136,6,2)))</f>
        <v/>
      </c>
    </row>
    <row r="137" ht="20" customHeight="1">
      <c r="A137" s="21">
        <f>IF(B137="","",ROW()-3)</f>
        <v/>
      </c>
      <c r="B137" s="29" t="n"/>
      <c r="C137" s="29" t="n"/>
      <c r="D137" s="41" t="n"/>
      <c r="E137" s="41" t="n"/>
      <c r="F137" s="17">
        <f>IF(OR(D137="",E137=""),"",D137-E137)</f>
        <v/>
      </c>
      <c r="G137" s="19">
        <f>IF(OR(D137="",D137=0),"",F137/D137)</f>
        <v/>
      </c>
      <c r="H137" s="33" t="n"/>
      <c r="I137" s="13">
        <f>IF(OR(E137="",H137="",H137=0),"",INT(E137/H137))</f>
        <v/>
      </c>
      <c r="J137" s="17">
        <f>IF(OR(E137="",H137="",I137=""),"",E137-I137*H137)</f>
        <v/>
      </c>
      <c r="K137" s="29" t="n"/>
      <c r="L137" s="29" t="n"/>
      <c r="M137" s="21">
        <f>IF(B137="","",VALUE(LEFT(B137,4)))</f>
        <v/>
      </c>
      <c r="N137" s="21">
        <f>IF(B137="","",VALUE(MID(B137,6,2)))</f>
        <v/>
      </c>
    </row>
    <row r="138" ht="20" customHeight="1">
      <c r="A138" s="21">
        <f>IF(B138="","",ROW()-3)</f>
        <v/>
      </c>
      <c r="B138" s="29" t="n"/>
      <c r="C138" s="29" t="n"/>
      <c r="D138" s="41" t="n"/>
      <c r="E138" s="41" t="n"/>
      <c r="F138" s="17">
        <f>IF(OR(D138="",E138=""),"",D138-E138)</f>
        <v/>
      </c>
      <c r="G138" s="19">
        <f>IF(OR(D138="",D138=0),"",F138/D138)</f>
        <v/>
      </c>
      <c r="H138" s="33" t="n"/>
      <c r="I138" s="13">
        <f>IF(OR(E138="",H138="",H138=0),"",INT(E138/H138))</f>
        <v/>
      </c>
      <c r="J138" s="17">
        <f>IF(OR(E138="",H138="",I138=""),"",E138-I138*H138)</f>
        <v/>
      </c>
      <c r="K138" s="29" t="n"/>
      <c r="L138" s="29" t="n"/>
      <c r="M138" s="21">
        <f>IF(B138="","",VALUE(LEFT(B138,4)))</f>
        <v/>
      </c>
      <c r="N138" s="21">
        <f>IF(B138="","",VALUE(MID(B138,6,2)))</f>
        <v/>
      </c>
    </row>
    <row r="139" ht="20" customHeight="1">
      <c r="A139" s="21">
        <f>IF(B139="","",ROW()-3)</f>
        <v/>
      </c>
      <c r="B139" s="29" t="n"/>
      <c r="C139" s="29" t="n"/>
      <c r="D139" s="41" t="n"/>
      <c r="E139" s="41" t="n"/>
      <c r="F139" s="17">
        <f>IF(OR(D139="",E139=""),"",D139-E139)</f>
        <v/>
      </c>
      <c r="G139" s="19">
        <f>IF(OR(D139="",D139=0),"",F139/D139)</f>
        <v/>
      </c>
      <c r="H139" s="33" t="n"/>
      <c r="I139" s="13">
        <f>IF(OR(E139="",H139="",H139=0),"",INT(E139/H139))</f>
        <v/>
      </c>
      <c r="J139" s="17">
        <f>IF(OR(E139="",H139="",I139=""),"",E139-I139*H139)</f>
        <v/>
      </c>
      <c r="K139" s="29" t="n"/>
      <c r="L139" s="29" t="n"/>
      <c r="M139" s="21">
        <f>IF(B139="","",VALUE(LEFT(B139,4)))</f>
        <v/>
      </c>
      <c r="N139" s="21">
        <f>IF(B139="","",VALUE(MID(B139,6,2)))</f>
        <v/>
      </c>
    </row>
    <row r="140" ht="20" customHeight="1">
      <c r="A140" s="21">
        <f>IF(B140="","",ROW()-3)</f>
        <v/>
      </c>
      <c r="B140" s="29" t="n"/>
      <c r="C140" s="29" t="n"/>
      <c r="D140" s="41" t="n"/>
      <c r="E140" s="41" t="n"/>
      <c r="F140" s="17">
        <f>IF(OR(D140="",E140=""),"",D140-E140)</f>
        <v/>
      </c>
      <c r="G140" s="19">
        <f>IF(OR(D140="",D140=0),"",F140/D140)</f>
        <v/>
      </c>
      <c r="H140" s="33" t="n"/>
      <c r="I140" s="13">
        <f>IF(OR(E140="",H140="",H140=0),"",INT(E140/H140))</f>
        <v/>
      </c>
      <c r="J140" s="17">
        <f>IF(OR(E140="",H140="",I140=""),"",E140-I140*H140)</f>
        <v/>
      </c>
      <c r="K140" s="29" t="n"/>
      <c r="L140" s="29" t="n"/>
      <c r="M140" s="21">
        <f>IF(B140="","",VALUE(LEFT(B140,4)))</f>
        <v/>
      </c>
      <c r="N140" s="21">
        <f>IF(B140="","",VALUE(MID(B140,6,2)))</f>
        <v/>
      </c>
    </row>
    <row r="141" ht="20" customHeight="1">
      <c r="A141" s="21">
        <f>IF(B141="","",ROW()-3)</f>
        <v/>
      </c>
      <c r="B141" s="29" t="n"/>
      <c r="C141" s="29" t="n"/>
      <c r="D141" s="41" t="n"/>
      <c r="E141" s="41" t="n"/>
      <c r="F141" s="17">
        <f>IF(OR(D141="",E141=""),"",D141-E141)</f>
        <v/>
      </c>
      <c r="G141" s="19">
        <f>IF(OR(D141="",D141=0),"",F141/D141)</f>
        <v/>
      </c>
      <c r="H141" s="33" t="n"/>
      <c r="I141" s="13">
        <f>IF(OR(E141="",H141="",H141=0),"",INT(E141/H141))</f>
        <v/>
      </c>
      <c r="J141" s="17">
        <f>IF(OR(E141="",H141="",I141=""),"",E141-I141*H141)</f>
        <v/>
      </c>
      <c r="K141" s="29" t="n"/>
      <c r="L141" s="29" t="n"/>
      <c r="M141" s="21">
        <f>IF(B141="","",VALUE(LEFT(B141,4)))</f>
        <v/>
      </c>
      <c r="N141" s="21">
        <f>IF(B141="","",VALUE(MID(B141,6,2)))</f>
        <v/>
      </c>
    </row>
    <row r="142" ht="20" customHeight="1">
      <c r="A142" s="21">
        <f>IF(B142="","",ROW()-3)</f>
        <v/>
      </c>
      <c r="B142" s="29" t="n"/>
      <c r="C142" s="29" t="n"/>
      <c r="D142" s="41" t="n"/>
      <c r="E142" s="41" t="n"/>
      <c r="F142" s="17">
        <f>IF(OR(D142="",E142=""),"",D142-E142)</f>
        <v/>
      </c>
      <c r="G142" s="19">
        <f>IF(OR(D142="",D142=0),"",F142/D142)</f>
        <v/>
      </c>
      <c r="H142" s="33" t="n"/>
      <c r="I142" s="13">
        <f>IF(OR(E142="",H142="",H142=0),"",INT(E142/H142))</f>
        <v/>
      </c>
      <c r="J142" s="17">
        <f>IF(OR(E142="",H142="",I142=""),"",E142-I142*H142)</f>
        <v/>
      </c>
      <c r="K142" s="29" t="n"/>
      <c r="L142" s="29" t="n"/>
      <c r="M142" s="21">
        <f>IF(B142="","",VALUE(LEFT(B142,4)))</f>
        <v/>
      </c>
      <c r="N142" s="21">
        <f>IF(B142="","",VALUE(MID(B142,6,2)))</f>
        <v/>
      </c>
    </row>
    <row r="143" ht="20" customHeight="1">
      <c r="A143" s="21">
        <f>IF(B143="","",ROW()-3)</f>
        <v/>
      </c>
      <c r="B143" s="29" t="n"/>
      <c r="C143" s="29" t="n"/>
      <c r="D143" s="41" t="n"/>
      <c r="E143" s="41" t="n"/>
      <c r="F143" s="17">
        <f>IF(OR(D143="",E143=""),"",D143-E143)</f>
        <v/>
      </c>
      <c r="G143" s="19">
        <f>IF(OR(D143="",D143=0),"",F143/D143)</f>
        <v/>
      </c>
      <c r="H143" s="33" t="n"/>
      <c r="I143" s="13">
        <f>IF(OR(E143="",H143="",H143=0),"",INT(E143/H143))</f>
        <v/>
      </c>
      <c r="J143" s="17">
        <f>IF(OR(E143="",H143="",I143=""),"",E143-I143*H143)</f>
        <v/>
      </c>
      <c r="K143" s="29" t="n"/>
      <c r="L143" s="29" t="n"/>
      <c r="M143" s="21">
        <f>IF(B143="","",VALUE(LEFT(B143,4)))</f>
        <v/>
      </c>
      <c r="N143" s="21">
        <f>IF(B143="","",VALUE(MID(B143,6,2)))</f>
        <v/>
      </c>
    </row>
    <row r="144" ht="20" customHeight="1">
      <c r="A144" s="21">
        <f>IF(B144="","",ROW()-3)</f>
        <v/>
      </c>
      <c r="B144" s="29" t="n"/>
      <c r="C144" s="29" t="n"/>
      <c r="D144" s="41" t="n"/>
      <c r="E144" s="41" t="n"/>
      <c r="F144" s="17">
        <f>IF(OR(D144="",E144=""),"",D144-E144)</f>
        <v/>
      </c>
      <c r="G144" s="19">
        <f>IF(OR(D144="",D144=0),"",F144/D144)</f>
        <v/>
      </c>
      <c r="H144" s="33" t="n"/>
      <c r="I144" s="13">
        <f>IF(OR(E144="",H144="",H144=0),"",INT(E144/H144))</f>
        <v/>
      </c>
      <c r="J144" s="17">
        <f>IF(OR(E144="",H144="",I144=""),"",E144-I144*H144)</f>
        <v/>
      </c>
      <c r="K144" s="29" t="n"/>
      <c r="L144" s="29" t="n"/>
      <c r="M144" s="21">
        <f>IF(B144="","",VALUE(LEFT(B144,4)))</f>
        <v/>
      </c>
      <c r="N144" s="21">
        <f>IF(B144="","",VALUE(MID(B144,6,2)))</f>
        <v/>
      </c>
    </row>
    <row r="145" ht="20" customHeight="1">
      <c r="A145" s="21">
        <f>IF(B145="","",ROW()-3)</f>
        <v/>
      </c>
      <c r="B145" s="29" t="n"/>
      <c r="C145" s="29" t="n"/>
      <c r="D145" s="41" t="n"/>
      <c r="E145" s="41" t="n"/>
      <c r="F145" s="17">
        <f>IF(OR(D145="",E145=""),"",D145-E145)</f>
        <v/>
      </c>
      <c r="G145" s="19">
        <f>IF(OR(D145="",D145=0),"",F145/D145)</f>
        <v/>
      </c>
      <c r="H145" s="33" t="n"/>
      <c r="I145" s="13">
        <f>IF(OR(E145="",H145="",H145=0),"",INT(E145/H145))</f>
        <v/>
      </c>
      <c r="J145" s="17">
        <f>IF(OR(E145="",H145="",I145=""),"",E145-I145*H145)</f>
        <v/>
      </c>
      <c r="K145" s="29" t="n"/>
      <c r="L145" s="29" t="n"/>
      <c r="M145" s="21">
        <f>IF(B145="","",VALUE(LEFT(B145,4)))</f>
        <v/>
      </c>
      <c r="N145" s="21">
        <f>IF(B145="","",VALUE(MID(B145,6,2)))</f>
        <v/>
      </c>
    </row>
    <row r="146" ht="20" customHeight="1">
      <c r="A146" s="21">
        <f>IF(B146="","",ROW()-3)</f>
        <v/>
      </c>
      <c r="B146" s="29" t="n"/>
      <c r="C146" s="29" t="n"/>
      <c r="D146" s="41" t="n"/>
      <c r="E146" s="41" t="n"/>
      <c r="F146" s="17">
        <f>IF(OR(D146="",E146=""),"",D146-E146)</f>
        <v/>
      </c>
      <c r="G146" s="19">
        <f>IF(OR(D146="",D146=0),"",F146/D146)</f>
        <v/>
      </c>
      <c r="H146" s="33" t="n"/>
      <c r="I146" s="13">
        <f>IF(OR(E146="",H146="",H146=0),"",INT(E146/H146))</f>
        <v/>
      </c>
      <c r="J146" s="17">
        <f>IF(OR(E146="",H146="",I146=""),"",E146-I146*H146)</f>
        <v/>
      </c>
      <c r="K146" s="29" t="n"/>
      <c r="L146" s="29" t="n"/>
      <c r="M146" s="21">
        <f>IF(B146="","",VALUE(LEFT(B146,4)))</f>
        <v/>
      </c>
      <c r="N146" s="21">
        <f>IF(B146="","",VALUE(MID(B146,6,2)))</f>
        <v/>
      </c>
    </row>
    <row r="147" ht="20" customHeight="1">
      <c r="A147" s="21">
        <f>IF(B147="","",ROW()-3)</f>
        <v/>
      </c>
      <c r="B147" s="29" t="n"/>
      <c r="C147" s="29" t="n"/>
      <c r="D147" s="41" t="n"/>
      <c r="E147" s="41" t="n"/>
      <c r="F147" s="17">
        <f>IF(OR(D147="",E147=""),"",D147-E147)</f>
        <v/>
      </c>
      <c r="G147" s="19">
        <f>IF(OR(D147="",D147=0),"",F147/D147)</f>
        <v/>
      </c>
      <c r="H147" s="33" t="n"/>
      <c r="I147" s="13">
        <f>IF(OR(E147="",H147="",H147=0),"",INT(E147/H147))</f>
        <v/>
      </c>
      <c r="J147" s="17">
        <f>IF(OR(E147="",H147="",I147=""),"",E147-I147*H147)</f>
        <v/>
      </c>
      <c r="K147" s="29" t="n"/>
      <c r="L147" s="29" t="n"/>
      <c r="M147" s="21">
        <f>IF(B147="","",VALUE(LEFT(B147,4)))</f>
        <v/>
      </c>
      <c r="N147" s="21">
        <f>IF(B147="","",VALUE(MID(B147,6,2)))</f>
        <v/>
      </c>
    </row>
    <row r="148" ht="20" customHeight="1">
      <c r="A148" s="21">
        <f>IF(B148="","",ROW()-3)</f>
        <v/>
      </c>
      <c r="B148" s="29" t="n"/>
      <c r="C148" s="29" t="n"/>
      <c r="D148" s="41" t="n"/>
      <c r="E148" s="41" t="n"/>
      <c r="F148" s="17">
        <f>IF(OR(D148="",E148=""),"",D148-E148)</f>
        <v/>
      </c>
      <c r="G148" s="19">
        <f>IF(OR(D148="",D148=0),"",F148/D148)</f>
        <v/>
      </c>
      <c r="H148" s="33" t="n"/>
      <c r="I148" s="13">
        <f>IF(OR(E148="",H148="",H148=0),"",INT(E148/H148))</f>
        <v/>
      </c>
      <c r="J148" s="17">
        <f>IF(OR(E148="",H148="",I148=""),"",E148-I148*H148)</f>
        <v/>
      </c>
      <c r="K148" s="29" t="n"/>
      <c r="L148" s="29" t="n"/>
      <c r="M148" s="21">
        <f>IF(B148="","",VALUE(LEFT(B148,4)))</f>
        <v/>
      </c>
      <c r="N148" s="21">
        <f>IF(B148="","",VALUE(MID(B148,6,2)))</f>
        <v/>
      </c>
    </row>
    <row r="149" ht="20" customHeight="1">
      <c r="A149" s="21">
        <f>IF(B149="","",ROW()-3)</f>
        <v/>
      </c>
      <c r="B149" s="29" t="n"/>
      <c r="C149" s="29" t="n"/>
      <c r="D149" s="41" t="n"/>
      <c r="E149" s="41" t="n"/>
      <c r="F149" s="17">
        <f>IF(OR(D149="",E149=""),"",D149-E149)</f>
        <v/>
      </c>
      <c r="G149" s="19">
        <f>IF(OR(D149="",D149=0),"",F149/D149)</f>
        <v/>
      </c>
      <c r="H149" s="33" t="n"/>
      <c r="I149" s="13">
        <f>IF(OR(E149="",H149="",H149=0),"",INT(E149/H149))</f>
        <v/>
      </c>
      <c r="J149" s="17">
        <f>IF(OR(E149="",H149="",I149=""),"",E149-I149*H149)</f>
        <v/>
      </c>
      <c r="K149" s="29" t="n"/>
      <c r="L149" s="29" t="n"/>
      <c r="M149" s="21">
        <f>IF(B149="","",VALUE(LEFT(B149,4)))</f>
        <v/>
      </c>
      <c r="N149" s="21">
        <f>IF(B149="","",VALUE(MID(B149,6,2)))</f>
        <v/>
      </c>
    </row>
    <row r="150" ht="20" customHeight="1">
      <c r="A150" s="21">
        <f>IF(B150="","",ROW()-3)</f>
        <v/>
      </c>
      <c r="B150" s="29" t="n"/>
      <c r="C150" s="29" t="n"/>
      <c r="D150" s="41" t="n"/>
      <c r="E150" s="41" t="n"/>
      <c r="F150" s="17">
        <f>IF(OR(D150="",E150=""),"",D150-E150)</f>
        <v/>
      </c>
      <c r="G150" s="19">
        <f>IF(OR(D150="",D150=0),"",F150/D150)</f>
        <v/>
      </c>
      <c r="H150" s="33" t="n"/>
      <c r="I150" s="13">
        <f>IF(OR(E150="",H150="",H150=0),"",INT(E150/H150))</f>
        <v/>
      </c>
      <c r="J150" s="17">
        <f>IF(OR(E150="",H150="",I150=""),"",E150-I150*H150)</f>
        <v/>
      </c>
      <c r="K150" s="29" t="n"/>
      <c r="L150" s="29" t="n"/>
      <c r="M150" s="21">
        <f>IF(B150="","",VALUE(LEFT(B150,4)))</f>
        <v/>
      </c>
      <c r="N150" s="21">
        <f>IF(B150="","",VALUE(MID(B150,6,2)))</f>
        <v/>
      </c>
    </row>
    <row r="151" ht="20" customHeight="1">
      <c r="A151" s="21">
        <f>IF(B151="","",ROW()-3)</f>
        <v/>
      </c>
      <c r="B151" s="29" t="n"/>
      <c r="C151" s="29" t="n"/>
      <c r="D151" s="41" t="n"/>
      <c r="E151" s="41" t="n"/>
      <c r="F151" s="17">
        <f>IF(OR(D151="",E151=""),"",D151-E151)</f>
        <v/>
      </c>
      <c r="G151" s="19">
        <f>IF(OR(D151="",D151=0),"",F151/D151)</f>
        <v/>
      </c>
      <c r="H151" s="33" t="n"/>
      <c r="I151" s="13">
        <f>IF(OR(E151="",H151="",H151=0),"",INT(E151/H151))</f>
        <v/>
      </c>
      <c r="J151" s="17">
        <f>IF(OR(E151="",H151="",I151=""),"",E151-I151*H151)</f>
        <v/>
      </c>
      <c r="K151" s="29" t="n"/>
      <c r="L151" s="29" t="n"/>
      <c r="M151" s="21">
        <f>IF(B151="","",VALUE(LEFT(B151,4)))</f>
        <v/>
      </c>
      <c r="N151" s="21">
        <f>IF(B151="","",VALUE(MID(B151,6,2)))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N151"/>
  <mergeCells count="2">
    <mergeCell ref="A2:N2"/>
    <mergeCell ref="A1:N1"/>
  </mergeCells>
  <conditionalFormatting sqref="G4:G151">
    <cfRule type="cellIs" priority="1" operator="greaterThan" dxfId="6">
      <formula>0.06</formula>
    </cfRule>
    <cfRule type="cellIs" priority="2" operator="between" dxfId="8">
      <formula>0.03</formula>
      <formula>0.06</formula>
    </cfRule>
    <cfRule type="cellIs" priority="3" operator="lessThan" dxfId="7">
      <formula>0.03</formula>
    </cfRule>
  </conditionalFormatting>
  <dataValidations count="4">
    <dataValidation sqref="B4:B151" showDropDown="0" showInputMessage="0" showErrorMessage="0" allowBlank="1" error="تاریخ را مثل 1405/06/18 وارد کنید" type="custom">
      <formula1>AND(LEN(B4)=10,MID(B4,5,1)="/",MID(B4,8,1)="/")</formula1>
    </dataValidation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=ProductsList</formula1>
    </dataValidation>
    <dataValidation sqref="H4:H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=PacksList</formula1>
    </dataValidation>
    <dataValidation sqref="K4:K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=StaffList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Q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4" customWidth="1" min="5" max="5"/>
    <col width="16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6" customWidth="1" min="13" max="13"/>
    <col width="14" customWidth="1" min="14" max="14"/>
    <col width="16" customWidth="1" min="15" max="15"/>
    <col width="8" customWidth="1" min="16" max="16"/>
    <col width="8" customWidth="1" min="17" max="17"/>
  </cols>
  <sheetData>
    <row r="1" ht="28" customHeight="1">
      <c r="A1" s="1" t="inlineStr">
        <is>
          <t>فروش</t>
        </is>
      </c>
    </row>
    <row r="2" ht="20" customHeight="1">
      <c r="A2" s="22" t="inlineStr">
        <is>
          <t>مبلغ فروش، مبلغ نهایی و مانده حساب خودکار است. وصول را همین‌جا بزنید تا مطالبات داشبورد درست بماند.</t>
        </is>
      </c>
    </row>
    <row r="3" ht="28" customHeight="1">
      <c r="A3" s="3" t="inlineStr">
        <is>
          <t>ردیف</t>
        </is>
      </c>
      <c r="B3" s="3" t="inlineStr">
        <is>
          <t>تاریخ شمسی</t>
        </is>
      </c>
      <c r="C3" s="3" t="inlineStr">
        <is>
          <t>نام مشتری</t>
        </is>
      </c>
      <c r="D3" s="3" t="inlineStr">
        <is>
          <t>شهر/منطقه</t>
        </is>
      </c>
      <c r="E3" s="3" t="inlineStr">
        <is>
          <t>محصول</t>
        </is>
      </c>
      <c r="F3" s="3" t="inlineStr">
        <is>
          <t>وزن بسته (کیلو)</t>
        </is>
      </c>
      <c r="G3" s="3" t="inlineStr">
        <is>
          <t>تعداد</t>
        </is>
      </c>
      <c r="H3" s="3" t="inlineStr">
        <is>
          <t>وزن کل (کیلو)</t>
        </is>
      </c>
      <c r="I3" s="3" t="inlineStr">
        <is>
          <t>قیمت واحد</t>
        </is>
      </c>
      <c r="J3" s="3" t="inlineStr">
        <is>
          <t>مبلغ فروش</t>
        </is>
      </c>
      <c r="K3" s="3" t="inlineStr">
        <is>
          <t>تخفیف</t>
        </is>
      </c>
      <c r="L3" s="3" t="inlineStr">
        <is>
          <t>مبلغ نهایی</t>
        </is>
      </c>
      <c r="M3" s="3" t="inlineStr">
        <is>
          <t>مبلغ وصول‌شده</t>
        </is>
      </c>
      <c r="N3" s="3" t="inlineStr">
        <is>
          <t>مانده حساب</t>
        </is>
      </c>
      <c r="O3" s="3" t="inlineStr">
        <is>
          <t>فروشنده</t>
        </is>
      </c>
      <c r="P3" s="3" t="inlineStr">
        <is>
          <t>سال</t>
        </is>
      </c>
      <c r="Q3" s="3" t="inlineStr">
        <is>
          <t>ماه</t>
        </is>
      </c>
    </row>
    <row r="4" ht="20" customHeight="1">
      <c r="A4" s="21">
        <f>IF(B4="","",ROW()-3)</f>
        <v/>
      </c>
      <c r="B4" s="29" t="inlineStr">
        <is>
          <t>1405/05/26</t>
        </is>
      </c>
      <c r="C4" s="29" t="inlineStr">
        <is>
          <t>سوپرمارکت رضایی</t>
        </is>
      </c>
      <c r="D4" s="29" t="inlineStr">
        <is>
          <t>پلدختر</t>
        </is>
      </c>
      <c r="E4" s="29" t="inlineStr">
        <is>
          <t>لوبیا چیتی</t>
        </is>
      </c>
      <c r="F4" s="33" t="n">
        <v>0.9</v>
      </c>
      <c r="G4" s="31" t="n">
        <v>40</v>
      </c>
      <c r="H4" s="17">
        <f>IF(OR(F4="",G4=""),"",F4*G4)</f>
        <v/>
      </c>
      <c r="I4" s="31" t="n">
        <v>98000</v>
      </c>
      <c r="J4" s="13">
        <f>IF(OR(G4="",I4=""),"",G4*I4)</f>
        <v/>
      </c>
      <c r="K4" s="31" t="n">
        <v>0</v>
      </c>
      <c r="L4" s="13">
        <f>IF(J4="","",J4-IF(K4="",0,K4))</f>
        <v/>
      </c>
      <c r="M4" s="31" t="n">
        <v>3920000</v>
      </c>
      <c r="N4" s="13">
        <f>IF(L4="","",L4-IF(M4="",0,M4))</f>
        <v/>
      </c>
      <c r="O4" s="29" t="inlineStr">
        <is>
          <t>ویزیتور پخش</t>
        </is>
      </c>
      <c r="P4" s="21">
        <f>IF(B4="","",VALUE(LEFT(B4,4)))</f>
        <v/>
      </c>
      <c r="Q4" s="21">
        <f>IF(B4="","",VALUE(MID(B4,6,2)))</f>
        <v/>
      </c>
    </row>
    <row r="5" ht="20" customHeight="1">
      <c r="A5" s="21">
        <f>IF(B5="","",ROW()-3)</f>
        <v/>
      </c>
      <c r="B5" s="29" t="inlineStr">
        <is>
          <t>1405/05/28</t>
        </is>
      </c>
      <c r="C5" s="29" t="inlineStr">
        <is>
          <t>خواربار محمدی</t>
        </is>
      </c>
      <c r="D5" s="29" t="inlineStr">
        <is>
          <t>پلدختر</t>
        </is>
      </c>
      <c r="E5" s="29" t="inlineStr">
        <is>
          <t>عدس</t>
        </is>
      </c>
      <c r="F5" s="33" t="n">
        <v>0.4</v>
      </c>
      <c r="G5" s="31" t="n">
        <v>50</v>
      </c>
      <c r="H5" s="17">
        <f>IF(OR(F5="",G5=""),"",F5*G5)</f>
        <v/>
      </c>
      <c r="I5" s="31" t="n">
        <v>42000</v>
      </c>
      <c r="J5" s="13">
        <f>IF(OR(G5="",I5=""),"",G5*I5)</f>
        <v/>
      </c>
      <c r="K5" s="31" t="n">
        <v>0</v>
      </c>
      <c r="L5" s="13">
        <f>IF(J5="","",J5-IF(K5="",0,K5))</f>
        <v/>
      </c>
      <c r="M5" s="31" t="n">
        <v>2100000</v>
      </c>
      <c r="N5" s="13">
        <f>IF(L5="","",L5-IF(M5="",0,M5))</f>
        <v/>
      </c>
      <c r="O5" s="29" t="inlineStr">
        <is>
          <t>ویزیتور پخش</t>
        </is>
      </c>
      <c r="P5" s="21">
        <f>IF(B5="","",VALUE(LEFT(B5,4)))</f>
        <v/>
      </c>
      <c r="Q5" s="21">
        <f>IF(B5="","",VALUE(MID(B5,6,2)))</f>
        <v/>
      </c>
    </row>
    <row r="6" ht="20" customHeight="1">
      <c r="A6" s="21">
        <f>IF(B6="","",ROW()-3)</f>
        <v/>
      </c>
      <c r="B6" s="29" t="inlineStr">
        <is>
          <t>1405/06/04</t>
        </is>
      </c>
      <c r="C6" s="29" t="inlineStr">
        <is>
          <t>سوپرمارکت رضایی</t>
        </is>
      </c>
      <c r="D6" s="29" t="inlineStr">
        <is>
          <t>پلدختر</t>
        </is>
      </c>
      <c r="E6" s="29" t="inlineStr">
        <is>
          <t>لوبیا چیتی</t>
        </is>
      </c>
      <c r="F6" s="33" t="n">
        <v>0.4</v>
      </c>
      <c r="G6" s="31" t="n">
        <v>80</v>
      </c>
      <c r="H6" s="17">
        <f>IF(OR(F6="",G6=""),"",F6*G6)</f>
        <v/>
      </c>
      <c r="I6" s="31" t="n">
        <v>46000</v>
      </c>
      <c r="J6" s="13">
        <f>IF(OR(G6="",I6=""),"",G6*I6)</f>
        <v/>
      </c>
      <c r="K6" s="31" t="n">
        <v>80000</v>
      </c>
      <c r="L6" s="13">
        <f>IF(J6="","",J6-IF(K6="",0,K6))</f>
        <v/>
      </c>
      <c r="M6" s="31" t="n">
        <v>3600000</v>
      </c>
      <c r="N6" s="13">
        <f>IF(L6="","",L6-IF(M6="",0,M6))</f>
        <v/>
      </c>
      <c r="O6" s="29" t="inlineStr">
        <is>
          <t>ویزیتور پخش</t>
        </is>
      </c>
      <c r="P6" s="21">
        <f>IF(B6="","",VALUE(LEFT(B6,4)))</f>
        <v/>
      </c>
      <c r="Q6" s="21">
        <f>IF(B6="","",VALUE(MID(B6,6,2)))</f>
        <v/>
      </c>
    </row>
    <row r="7" ht="20" customHeight="1">
      <c r="A7" s="21">
        <f>IF(B7="","",ROW()-3)</f>
        <v/>
      </c>
      <c r="B7" s="29" t="inlineStr">
        <is>
          <t>1405/06/04</t>
        </is>
      </c>
      <c r="C7" s="29" t="inlineStr">
        <is>
          <t>سوپرمارکت رضایی</t>
        </is>
      </c>
      <c r="D7" s="29" t="inlineStr">
        <is>
          <t>پلدختر</t>
        </is>
      </c>
      <c r="E7" s="29" t="inlineStr">
        <is>
          <t>نخود</t>
        </is>
      </c>
      <c r="F7" s="33" t="n">
        <v>0.9</v>
      </c>
      <c r="G7" s="31" t="n">
        <v>30</v>
      </c>
      <c r="H7" s="17">
        <f>IF(OR(F7="",G7=""),"",F7*G7)</f>
        <v/>
      </c>
      <c r="I7" s="31" t="n">
        <v>82000</v>
      </c>
      <c r="J7" s="13">
        <f>IF(OR(G7="",I7=""),"",G7*I7)</f>
        <v/>
      </c>
      <c r="K7" s="31" t="n">
        <v>0</v>
      </c>
      <c r="L7" s="13">
        <f>IF(J7="","",J7-IF(K7="",0,K7))</f>
        <v/>
      </c>
      <c r="M7" s="31" t="n">
        <v>2460000</v>
      </c>
      <c r="N7" s="13">
        <f>IF(L7="","",L7-IF(M7="",0,M7))</f>
        <v/>
      </c>
      <c r="O7" s="29" t="inlineStr">
        <is>
          <t>ویزیتور پخش</t>
        </is>
      </c>
      <c r="P7" s="21">
        <f>IF(B7="","",VALUE(LEFT(B7,4)))</f>
        <v/>
      </c>
      <c r="Q7" s="21">
        <f>IF(B7="","",VALUE(MID(B7,6,2)))</f>
        <v/>
      </c>
    </row>
    <row r="8" ht="20" customHeight="1">
      <c r="A8" s="21">
        <f>IF(B8="","",ROW()-3)</f>
        <v/>
      </c>
      <c r="B8" s="29" t="inlineStr">
        <is>
          <t>1405/06/05</t>
        </is>
      </c>
      <c r="C8" s="29" t="inlineStr">
        <is>
          <t>فروشگاه رفاه خرم‌آباد</t>
        </is>
      </c>
      <c r="D8" s="29" t="inlineStr">
        <is>
          <t>خرم‌آباد</t>
        </is>
      </c>
      <c r="E8" s="29" t="inlineStr">
        <is>
          <t>لوبیا چیتی</t>
        </is>
      </c>
      <c r="F8" s="33" t="n">
        <v>10</v>
      </c>
      <c r="G8" s="31" t="n">
        <v>8</v>
      </c>
      <c r="H8" s="17">
        <f>IF(OR(F8="",G8=""),"",F8*G8)</f>
        <v/>
      </c>
      <c r="I8" s="31" t="n">
        <v>980000</v>
      </c>
      <c r="J8" s="13">
        <f>IF(OR(G8="",I8=""),"",G8*I8)</f>
        <v/>
      </c>
      <c r="K8" s="31" t="n">
        <v>0</v>
      </c>
      <c r="L8" s="13">
        <f>IF(J8="","",J8-IF(K8="",0,K8))</f>
        <v/>
      </c>
      <c r="M8" s="31" t="n">
        <v>7840000</v>
      </c>
      <c r="N8" s="13">
        <f>IF(L8="","",L8-IF(M8="",0,M8))</f>
        <v/>
      </c>
      <c r="O8" s="29" t="inlineStr">
        <is>
          <t>ویزیتور پخش</t>
        </is>
      </c>
      <c r="P8" s="21">
        <f>IF(B8="","",VALUE(LEFT(B8,4)))</f>
        <v/>
      </c>
      <c r="Q8" s="21">
        <f>IF(B8="","",VALUE(MID(B8,6,2)))</f>
        <v/>
      </c>
    </row>
    <row r="9" ht="20" customHeight="1">
      <c r="A9" s="21">
        <f>IF(B9="","",ROW()-3)</f>
        <v/>
      </c>
      <c r="B9" s="29" t="inlineStr">
        <is>
          <t>1405/06/06</t>
        </is>
      </c>
      <c r="C9" s="29" t="inlineStr">
        <is>
          <t>خواربار محمدی</t>
        </is>
      </c>
      <c r="D9" s="29" t="inlineStr">
        <is>
          <t>پلدختر</t>
        </is>
      </c>
      <c r="E9" s="29" t="inlineStr">
        <is>
          <t>عدس</t>
        </is>
      </c>
      <c r="F9" s="33" t="n">
        <v>0.4</v>
      </c>
      <c r="G9" s="31" t="n">
        <v>60</v>
      </c>
      <c r="H9" s="17">
        <f>IF(OR(F9="",G9=""),"",F9*G9)</f>
        <v/>
      </c>
      <c r="I9" s="31" t="n">
        <v>43000</v>
      </c>
      <c r="J9" s="13">
        <f>IF(OR(G9="",I9=""),"",G9*I9)</f>
        <v/>
      </c>
      <c r="K9" s="31" t="n">
        <v>0</v>
      </c>
      <c r="L9" s="13">
        <f>IF(J9="","",J9-IF(K9="",0,K9))</f>
        <v/>
      </c>
      <c r="M9" s="31" t="n">
        <v>2580000</v>
      </c>
      <c r="N9" s="13">
        <f>IF(L9="","",L9-IF(M9="",0,M9))</f>
        <v/>
      </c>
      <c r="O9" s="29" t="inlineStr">
        <is>
          <t>ویزیتور پخش</t>
        </is>
      </c>
      <c r="P9" s="21">
        <f>IF(B9="","",VALUE(LEFT(B9,4)))</f>
        <v/>
      </c>
      <c r="Q9" s="21">
        <f>IF(B9="","",VALUE(MID(B9,6,2)))</f>
        <v/>
      </c>
    </row>
    <row r="10" ht="20" customHeight="1">
      <c r="A10" s="21">
        <f>IF(B10="","",ROW()-3)</f>
        <v/>
      </c>
      <c r="B10" s="29" t="inlineStr">
        <is>
          <t>1405/06/07</t>
        </is>
      </c>
      <c r="C10" s="29" t="inlineStr">
        <is>
          <t>عمده‌فروشی حسینی</t>
        </is>
      </c>
      <c r="D10" s="29" t="inlineStr">
        <is>
          <t>کوهدشت</t>
        </is>
      </c>
      <c r="E10" s="29" t="inlineStr">
        <is>
          <t>نخود</t>
        </is>
      </c>
      <c r="F10" s="33" t="n">
        <v>10</v>
      </c>
      <c r="G10" s="31" t="n">
        <v>6</v>
      </c>
      <c r="H10" s="17">
        <f>IF(OR(F10="",G10=""),"",F10*G10)</f>
        <v/>
      </c>
      <c r="I10" s="31" t="n">
        <v>720000</v>
      </c>
      <c r="J10" s="13">
        <f>IF(OR(G10="",I10=""),"",G10*I10)</f>
        <v/>
      </c>
      <c r="K10" s="31" t="n">
        <v>200000</v>
      </c>
      <c r="L10" s="13">
        <f>IF(J10="","",J10-IF(K10="",0,K10))</f>
        <v/>
      </c>
      <c r="M10" s="31" t="n">
        <v>2500000</v>
      </c>
      <c r="N10" s="13">
        <f>IF(L10="","",L10-IF(M10="",0,M10))</f>
        <v/>
      </c>
      <c r="O10" s="29" t="inlineStr">
        <is>
          <t>ویزیتور پخش</t>
        </is>
      </c>
      <c r="P10" s="21">
        <f>IF(B10="","",VALUE(LEFT(B10,4)))</f>
        <v/>
      </c>
      <c r="Q10" s="21">
        <f>IF(B10="","",VALUE(MID(B10,6,2)))</f>
        <v/>
      </c>
    </row>
    <row r="11" ht="20" customHeight="1">
      <c r="A11" s="21">
        <f>IF(B11="","",ROW()-3)</f>
        <v/>
      </c>
      <c r="B11" s="29" t="inlineStr">
        <is>
          <t>1405/06/08</t>
        </is>
      </c>
      <c r="C11" s="29" t="inlineStr">
        <is>
          <t>مغازه میدان</t>
        </is>
      </c>
      <c r="D11" s="29" t="inlineStr">
        <is>
          <t>پلدختر</t>
        </is>
      </c>
      <c r="E11" s="29" t="inlineStr">
        <is>
          <t>لوبیا قرمز</t>
        </is>
      </c>
      <c r="F11" s="33" t="n">
        <v>0.4</v>
      </c>
      <c r="G11" s="31" t="n">
        <v>40</v>
      </c>
      <c r="H11" s="17">
        <f>IF(OR(F11="",G11=""),"",F11*G11)</f>
        <v/>
      </c>
      <c r="I11" s="31" t="n">
        <v>44000</v>
      </c>
      <c r="J11" s="13">
        <f>IF(OR(G11="",I11=""),"",G11*I11)</f>
        <v/>
      </c>
      <c r="K11" s="31" t="n">
        <v>0</v>
      </c>
      <c r="L11" s="13">
        <f>IF(J11="","",J11-IF(K11="",0,K11))</f>
        <v/>
      </c>
      <c r="M11" s="31" t="n">
        <v>1760000</v>
      </c>
      <c r="N11" s="13">
        <f>IF(L11="","",L11-IF(M11="",0,M11))</f>
        <v/>
      </c>
      <c r="O11" s="29" t="inlineStr">
        <is>
          <t>ویزیتور پخش</t>
        </is>
      </c>
      <c r="P11" s="21">
        <f>IF(B11="","",VALUE(LEFT(B11,4)))</f>
        <v/>
      </c>
      <c r="Q11" s="21">
        <f>IF(B11="","",VALUE(MID(B11,6,2)))</f>
        <v/>
      </c>
    </row>
    <row r="12" ht="20" customHeight="1">
      <c r="A12" s="21">
        <f>IF(B12="","",ROW()-3)</f>
        <v/>
      </c>
      <c r="B12" s="29" t="inlineStr">
        <is>
          <t>1405/06/09</t>
        </is>
      </c>
      <c r="C12" s="29" t="inlineStr">
        <is>
          <t>رستوران زاگرس</t>
        </is>
      </c>
      <c r="D12" s="29" t="inlineStr">
        <is>
          <t>خرم‌آباد</t>
        </is>
      </c>
      <c r="E12" s="29" t="inlineStr">
        <is>
          <t>عدس</t>
        </is>
      </c>
      <c r="F12" s="33" t="n">
        <v>0.9</v>
      </c>
      <c r="G12" s="31" t="n">
        <v>25</v>
      </c>
      <c r="H12" s="17">
        <f>IF(OR(F12="",G12=""),"",F12*G12)</f>
        <v/>
      </c>
      <c r="I12" s="31" t="n">
        <v>88000</v>
      </c>
      <c r="J12" s="13">
        <f>IF(OR(G12="",I12=""),"",G12*I12)</f>
        <v/>
      </c>
      <c r="K12" s="31" t="n">
        <v>0</v>
      </c>
      <c r="L12" s="13">
        <f>IF(J12="","",J12-IF(K12="",0,K12))</f>
        <v/>
      </c>
      <c r="M12" s="31" t="n">
        <v>0</v>
      </c>
      <c r="N12" s="13">
        <f>IF(L12="","",L12-IF(M12="",0,M12))</f>
        <v/>
      </c>
      <c r="O12" s="29" t="inlineStr">
        <is>
          <t>مدیر کارگاه</t>
        </is>
      </c>
      <c r="P12" s="21">
        <f>IF(B12="","",VALUE(LEFT(B12,4)))</f>
        <v/>
      </c>
      <c r="Q12" s="21">
        <f>IF(B12="","",VALUE(MID(B12,6,2)))</f>
        <v/>
      </c>
    </row>
    <row r="13" ht="20" customHeight="1">
      <c r="A13" s="21">
        <f>IF(B13="","",ROW()-3)</f>
        <v/>
      </c>
      <c r="B13" s="29" t="inlineStr">
        <is>
          <t>1405/06/10</t>
        </is>
      </c>
      <c r="C13" s="29" t="inlineStr">
        <is>
          <t>سوپر ستاره معمولان</t>
        </is>
      </c>
      <c r="D13" s="29" t="inlineStr">
        <is>
          <t>معمولان</t>
        </is>
      </c>
      <c r="E13" s="29" t="inlineStr">
        <is>
          <t>لوبیا چیتی</t>
        </is>
      </c>
      <c r="F13" s="33" t="n">
        <v>0.9</v>
      </c>
      <c r="G13" s="31" t="n">
        <v>35</v>
      </c>
      <c r="H13" s="17">
        <f>IF(OR(F13="",G13=""),"",F13*G13)</f>
        <v/>
      </c>
      <c r="I13" s="31" t="n">
        <v>100000</v>
      </c>
      <c r="J13" s="13">
        <f>IF(OR(G13="",I13=""),"",G13*I13)</f>
        <v/>
      </c>
      <c r="K13" s="31" t="n">
        <v>50000</v>
      </c>
      <c r="L13" s="13">
        <f>IF(J13="","",J13-IF(K13="",0,K13))</f>
        <v/>
      </c>
      <c r="M13" s="31" t="n">
        <v>2000000</v>
      </c>
      <c r="N13" s="13">
        <f>IF(L13="","",L13-IF(M13="",0,M13))</f>
        <v/>
      </c>
      <c r="O13" s="29" t="inlineStr">
        <is>
          <t>ویزیتور پخش</t>
        </is>
      </c>
      <c r="P13" s="21">
        <f>IF(B13="","",VALUE(LEFT(B13,4)))</f>
        <v/>
      </c>
      <c r="Q13" s="21">
        <f>IF(B13="","",VALUE(MID(B13,6,2)))</f>
        <v/>
      </c>
    </row>
    <row r="14" ht="20" customHeight="1">
      <c r="A14" s="21">
        <f>IF(B14="","",ROW()-3)</f>
        <v/>
      </c>
      <c r="B14" s="29" t="inlineStr">
        <is>
          <t>1405/06/11</t>
        </is>
      </c>
      <c r="C14" s="29" t="inlineStr">
        <is>
          <t>تعاونی مصرف فرهنگیان</t>
        </is>
      </c>
      <c r="D14" s="29" t="inlineStr">
        <is>
          <t>پلدختر</t>
        </is>
      </c>
      <c r="E14" s="29" t="inlineStr">
        <is>
          <t>لپه</t>
        </is>
      </c>
      <c r="F14" s="33" t="n">
        <v>0.9</v>
      </c>
      <c r="G14" s="31" t="n">
        <v>20</v>
      </c>
      <c r="H14" s="17">
        <f>IF(OR(F14="",G14=""),"",F14*G14)</f>
        <v/>
      </c>
      <c r="I14" s="31" t="n">
        <v>92000</v>
      </c>
      <c r="J14" s="13">
        <f>IF(OR(G14="",I14=""),"",G14*I14)</f>
        <v/>
      </c>
      <c r="K14" s="31" t="n">
        <v>0</v>
      </c>
      <c r="L14" s="13">
        <f>IF(J14="","",J14-IF(K14="",0,K14))</f>
        <v/>
      </c>
      <c r="M14" s="31" t="n">
        <v>1840000</v>
      </c>
      <c r="N14" s="13">
        <f>IF(L14="","",L14-IF(M14="",0,M14))</f>
        <v/>
      </c>
      <c r="O14" s="29" t="inlineStr">
        <is>
          <t>ویزیتور پخش</t>
        </is>
      </c>
      <c r="P14" s="21">
        <f>IF(B14="","",VALUE(LEFT(B14,4)))</f>
        <v/>
      </c>
      <c r="Q14" s="21">
        <f>IF(B14="","",VALUE(MID(B14,6,2)))</f>
        <v/>
      </c>
    </row>
    <row r="15" ht="20" customHeight="1">
      <c r="A15" s="21">
        <f>IF(B15="","",ROW()-3)</f>
        <v/>
      </c>
      <c r="B15" s="29" t="inlineStr">
        <is>
          <t>1405/06/12</t>
        </is>
      </c>
      <c r="C15" s="29" t="inlineStr">
        <is>
          <t>خواربار احمدی رومشکان</t>
        </is>
      </c>
      <c r="D15" s="29" t="inlineStr">
        <is>
          <t>رومشکان</t>
        </is>
      </c>
      <c r="E15" s="29" t="inlineStr">
        <is>
          <t>لوبیا قرمز</t>
        </is>
      </c>
      <c r="F15" s="33" t="n">
        <v>0.9</v>
      </c>
      <c r="G15" s="31" t="n">
        <v>28</v>
      </c>
      <c r="H15" s="17">
        <f>IF(OR(F15="",G15=""),"",F15*G15)</f>
        <v/>
      </c>
      <c r="I15" s="31" t="n">
        <v>96000</v>
      </c>
      <c r="J15" s="13">
        <f>IF(OR(G15="",I15=""),"",G15*I15)</f>
        <v/>
      </c>
      <c r="K15" s="31" t="n">
        <v>0</v>
      </c>
      <c r="L15" s="13">
        <f>IF(J15="","",J15-IF(K15="",0,K15))</f>
        <v/>
      </c>
      <c r="M15" s="31" t="n">
        <v>1500000</v>
      </c>
      <c r="N15" s="13">
        <f>IF(L15="","",L15-IF(M15="",0,M15))</f>
        <v/>
      </c>
      <c r="O15" s="29" t="inlineStr">
        <is>
          <t>ویزیتور پخش</t>
        </is>
      </c>
      <c r="P15" s="21">
        <f>IF(B15="","",VALUE(LEFT(B15,4)))</f>
        <v/>
      </c>
      <c r="Q15" s="21">
        <f>IF(B15="","",VALUE(MID(B15,6,2)))</f>
        <v/>
      </c>
    </row>
    <row r="16" ht="20" customHeight="1">
      <c r="A16" s="21">
        <f>IF(B16="","",ROW()-3)</f>
        <v/>
      </c>
      <c r="B16" s="29" t="inlineStr">
        <is>
          <t>1405/06/13</t>
        </is>
      </c>
      <c r="C16" s="29" t="inlineStr">
        <is>
          <t>عمده‌فروشی حسینی</t>
        </is>
      </c>
      <c r="D16" s="29" t="inlineStr">
        <is>
          <t>کوهدشت</t>
        </is>
      </c>
      <c r="E16" s="29" t="inlineStr">
        <is>
          <t>لوبیا چیتی</t>
        </is>
      </c>
      <c r="F16" s="33" t="n">
        <v>10</v>
      </c>
      <c r="G16" s="31" t="n">
        <v>5</v>
      </c>
      <c r="H16" s="17">
        <f>IF(OR(F16="",G16=""),"",F16*G16)</f>
        <v/>
      </c>
      <c r="I16" s="31" t="n">
        <v>990000</v>
      </c>
      <c r="J16" s="13">
        <f>IF(OR(G16="",I16=""),"",G16*I16)</f>
        <v/>
      </c>
      <c r="K16" s="31" t="n">
        <v>0</v>
      </c>
      <c r="L16" s="13">
        <f>IF(J16="","",J16-IF(K16="",0,K16))</f>
        <v/>
      </c>
      <c r="M16" s="31" t="n">
        <v>0</v>
      </c>
      <c r="N16" s="13">
        <f>IF(L16="","",L16-IF(M16="",0,M16))</f>
        <v/>
      </c>
      <c r="O16" s="29" t="inlineStr">
        <is>
          <t>ویزیتور پخش</t>
        </is>
      </c>
      <c r="P16" s="21">
        <f>IF(B16="","",VALUE(LEFT(B16,4)))</f>
        <v/>
      </c>
      <c r="Q16" s="21">
        <f>IF(B16="","",VALUE(MID(B16,6,2)))</f>
        <v/>
      </c>
    </row>
    <row r="17" ht="20" customHeight="1">
      <c r="A17" s="21">
        <f>IF(B17="","",ROW()-3)</f>
        <v/>
      </c>
      <c r="B17" s="29" t="inlineStr">
        <is>
          <t>1405/06/14</t>
        </is>
      </c>
      <c r="C17" s="29" t="inlineStr">
        <is>
          <t>سوپرمارکت رضایی</t>
        </is>
      </c>
      <c r="D17" s="29" t="inlineStr">
        <is>
          <t>پلدختر</t>
        </is>
      </c>
      <c r="E17" s="29" t="inlineStr">
        <is>
          <t>لوبیا سفید</t>
        </is>
      </c>
      <c r="F17" s="33" t="n">
        <v>0.4</v>
      </c>
      <c r="G17" s="31" t="n">
        <v>45</v>
      </c>
      <c r="H17" s="17">
        <f>IF(OR(F17="",G17=""),"",F17*G17)</f>
        <v/>
      </c>
      <c r="I17" s="31" t="n">
        <v>47000</v>
      </c>
      <c r="J17" s="13">
        <f>IF(OR(G17="",I17=""),"",G17*I17)</f>
        <v/>
      </c>
      <c r="K17" s="31" t="n">
        <v>0</v>
      </c>
      <c r="L17" s="13">
        <f>IF(J17="","",J17-IF(K17="",0,K17))</f>
        <v/>
      </c>
      <c r="M17" s="31" t="n">
        <v>2115000</v>
      </c>
      <c r="N17" s="13">
        <f>IF(L17="","",L17-IF(M17="",0,M17))</f>
        <v/>
      </c>
      <c r="O17" s="29" t="inlineStr">
        <is>
          <t>ویزیتور پخش</t>
        </is>
      </c>
      <c r="P17" s="21">
        <f>IF(B17="","",VALUE(LEFT(B17,4)))</f>
        <v/>
      </c>
      <c r="Q17" s="21">
        <f>IF(B17="","",VALUE(MID(B17,6,2)))</f>
        <v/>
      </c>
    </row>
    <row r="18" ht="20" customHeight="1">
      <c r="A18" s="21">
        <f>IF(B18="","",ROW()-3)</f>
        <v/>
      </c>
      <c r="B18" s="29" t="inlineStr">
        <is>
          <t>1405/06/15</t>
        </is>
      </c>
      <c r="C18" s="29" t="inlineStr">
        <is>
          <t>فروشگاه رفاه خرم‌آباد</t>
        </is>
      </c>
      <c r="D18" s="29" t="inlineStr">
        <is>
          <t>خرم‌آباد</t>
        </is>
      </c>
      <c r="E18" s="29" t="inlineStr">
        <is>
          <t>نخود</t>
        </is>
      </c>
      <c r="F18" s="33" t="n">
        <v>0.9</v>
      </c>
      <c r="G18" s="31" t="n">
        <v>40</v>
      </c>
      <c r="H18" s="17">
        <f>IF(OR(F18="",G18=""),"",F18*G18)</f>
        <v/>
      </c>
      <c r="I18" s="31" t="n">
        <v>84000</v>
      </c>
      <c r="J18" s="13">
        <f>IF(OR(G18="",I18=""),"",G18*I18)</f>
        <v/>
      </c>
      <c r="K18" s="31" t="n">
        <v>100000</v>
      </c>
      <c r="L18" s="13">
        <f>IF(J18="","",J18-IF(K18="",0,K18))</f>
        <v/>
      </c>
      <c r="M18" s="31" t="n">
        <v>2000000</v>
      </c>
      <c r="N18" s="13">
        <f>IF(L18="","",L18-IF(M18="",0,M18))</f>
        <v/>
      </c>
      <c r="O18" s="29" t="inlineStr">
        <is>
          <t>ویزیتور پخش</t>
        </is>
      </c>
      <c r="P18" s="21">
        <f>IF(B18="","",VALUE(LEFT(B18,4)))</f>
        <v/>
      </c>
      <c r="Q18" s="21">
        <f>IF(B18="","",VALUE(MID(B18,6,2)))</f>
        <v/>
      </c>
    </row>
    <row r="19" ht="20" customHeight="1">
      <c r="A19" s="21">
        <f>IF(B19="","",ROW()-3)</f>
        <v/>
      </c>
      <c r="B19" s="29" t="inlineStr">
        <is>
          <t>1405/06/16</t>
        </is>
      </c>
      <c r="C19" s="29" t="inlineStr">
        <is>
          <t>پخش مواد غذایی کرمی</t>
        </is>
      </c>
      <c r="D19" s="29" t="inlineStr">
        <is>
          <t>اندیمشک</t>
        </is>
      </c>
      <c r="E19" s="29" t="inlineStr">
        <is>
          <t>لوبیا چیتی</t>
        </is>
      </c>
      <c r="F19" s="33" t="n">
        <v>0.9</v>
      </c>
      <c r="G19" s="31" t="n">
        <v>50</v>
      </c>
      <c r="H19" s="17">
        <f>IF(OR(F19="",G19=""),"",F19*G19)</f>
        <v/>
      </c>
      <c r="I19" s="31" t="n">
        <v>99000</v>
      </c>
      <c r="J19" s="13">
        <f>IF(OR(G19="",I19=""),"",G19*I19)</f>
        <v/>
      </c>
      <c r="K19" s="31" t="n">
        <v>0</v>
      </c>
      <c r="L19" s="13">
        <f>IF(J19="","",J19-IF(K19="",0,K19))</f>
        <v/>
      </c>
      <c r="M19" s="31" t="n">
        <v>3000000</v>
      </c>
      <c r="N19" s="13">
        <f>IF(L19="","",L19-IF(M19="",0,M19))</f>
        <v/>
      </c>
      <c r="O19" s="29" t="inlineStr">
        <is>
          <t>ویزیتور پخش</t>
        </is>
      </c>
      <c r="P19" s="21">
        <f>IF(B19="","",VALUE(LEFT(B19,4)))</f>
        <v/>
      </c>
      <c r="Q19" s="21">
        <f>IF(B19="","",VALUE(MID(B19,6,2)))</f>
        <v/>
      </c>
    </row>
    <row r="20" ht="20" customHeight="1">
      <c r="A20" s="21">
        <f>IF(B20="","",ROW()-3)</f>
        <v/>
      </c>
      <c r="B20" s="29" t="inlineStr">
        <is>
          <t>1405/06/17</t>
        </is>
      </c>
      <c r="C20" s="29" t="inlineStr">
        <is>
          <t>مغازه میدان</t>
        </is>
      </c>
      <c r="D20" s="29" t="inlineStr">
        <is>
          <t>پلدختر</t>
        </is>
      </c>
      <c r="E20" s="29" t="inlineStr">
        <is>
          <t>عدس</t>
        </is>
      </c>
      <c r="F20" s="33" t="n">
        <v>0.4</v>
      </c>
      <c r="G20" s="31" t="n">
        <v>35</v>
      </c>
      <c r="H20" s="17">
        <f>IF(OR(F20="",G20=""),"",F20*G20)</f>
        <v/>
      </c>
      <c r="I20" s="31" t="n">
        <v>43000</v>
      </c>
      <c r="J20" s="13">
        <f>IF(OR(G20="",I20=""),"",G20*I20)</f>
        <v/>
      </c>
      <c r="K20" s="31" t="n">
        <v>0</v>
      </c>
      <c r="L20" s="13">
        <f>IF(J20="","",J20-IF(K20="",0,K20))</f>
        <v/>
      </c>
      <c r="M20" s="31" t="n">
        <v>1505000</v>
      </c>
      <c r="N20" s="13">
        <f>IF(L20="","",L20-IF(M20="",0,M20))</f>
        <v/>
      </c>
      <c r="O20" s="29" t="inlineStr">
        <is>
          <t>ویزیتور پخش</t>
        </is>
      </c>
      <c r="P20" s="21">
        <f>IF(B20="","",VALUE(LEFT(B20,4)))</f>
        <v/>
      </c>
      <c r="Q20" s="21">
        <f>IF(B20="","",VALUE(MID(B20,6,2)))</f>
        <v/>
      </c>
    </row>
    <row r="21" ht="20" customHeight="1">
      <c r="A21" s="21">
        <f>IF(B21="","",ROW()-3)</f>
        <v/>
      </c>
      <c r="B21" s="29" t="inlineStr">
        <is>
          <t>1405/06/18</t>
        </is>
      </c>
      <c r="C21" s="29" t="inlineStr">
        <is>
          <t>سوپر ستاره معمولان</t>
        </is>
      </c>
      <c r="D21" s="29" t="inlineStr">
        <is>
          <t>معمولان</t>
        </is>
      </c>
      <c r="E21" s="29" t="inlineStr">
        <is>
          <t>لپه</t>
        </is>
      </c>
      <c r="F21" s="33" t="n">
        <v>0.9</v>
      </c>
      <c r="G21" s="31" t="n">
        <v>18</v>
      </c>
      <c r="H21" s="17">
        <f>IF(OR(F21="",G21=""),"",F21*G21)</f>
        <v/>
      </c>
      <c r="I21" s="31" t="n">
        <v>93000</v>
      </c>
      <c r="J21" s="13">
        <f>IF(OR(G21="",I21=""),"",G21*I21)</f>
        <v/>
      </c>
      <c r="K21" s="31" t="n">
        <v>0</v>
      </c>
      <c r="L21" s="13">
        <f>IF(J21="","",J21-IF(K21="",0,K21))</f>
        <v/>
      </c>
      <c r="M21" s="31" t="n">
        <v>0</v>
      </c>
      <c r="N21" s="13">
        <f>IF(L21="","",L21-IF(M21="",0,M21))</f>
        <v/>
      </c>
      <c r="O21" s="29" t="inlineStr">
        <is>
          <t>ویزیتور پخش</t>
        </is>
      </c>
      <c r="P21" s="21">
        <f>IF(B21="","",VALUE(LEFT(B21,4)))</f>
        <v/>
      </c>
      <c r="Q21" s="21">
        <f>IF(B21="","",VALUE(MID(B21,6,2)))</f>
        <v/>
      </c>
    </row>
    <row r="22" ht="20" customHeight="1">
      <c r="A22" s="21">
        <f>IF(B22="","",ROW()-3)</f>
        <v/>
      </c>
      <c r="B22" s="29" t="inlineStr">
        <is>
          <t>1405/06/18</t>
        </is>
      </c>
      <c r="C22" s="29" t="inlineStr">
        <is>
          <t>خواربار محمدی</t>
        </is>
      </c>
      <c r="D22" s="29" t="inlineStr">
        <is>
          <t>پلدختر</t>
        </is>
      </c>
      <c r="E22" s="29" t="inlineStr">
        <is>
          <t>ماش</t>
        </is>
      </c>
      <c r="F22" s="33" t="n">
        <v>0.4</v>
      </c>
      <c r="G22" s="31" t="n">
        <v>20</v>
      </c>
      <c r="H22" s="17">
        <f>IF(OR(F22="",G22=""),"",F22*G22)</f>
        <v/>
      </c>
      <c r="I22" s="31" t="n">
        <v>40000</v>
      </c>
      <c r="J22" s="13">
        <f>IF(OR(G22="",I22=""),"",G22*I22)</f>
        <v/>
      </c>
      <c r="K22" s="31" t="n">
        <v>0</v>
      </c>
      <c r="L22" s="13">
        <f>IF(J22="","",J22-IF(K22="",0,K22))</f>
        <v/>
      </c>
      <c r="M22" s="31" t="n">
        <v>800000</v>
      </c>
      <c r="N22" s="13">
        <f>IF(L22="","",L22-IF(M22="",0,M22))</f>
        <v/>
      </c>
      <c r="O22" s="29" t="inlineStr">
        <is>
          <t>ویزیتور پخش</t>
        </is>
      </c>
      <c r="P22" s="21">
        <f>IF(B22="","",VALUE(LEFT(B22,4)))</f>
        <v/>
      </c>
      <c r="Q22" s="21">
        <f>IF(B22="","",VALUE(MID(B22,6,2)))</f>
        <v/>
      </c>
    </row>
    <row r="23" ht="20" customHeight="1">
      <c r="A23" s="21">
        <f>IF(B23="","",ROW()-3)</f>
        <v/>
      </c>
      <c r="B23" s="29" t="n"/>
      <c r="C23" s="29" t="n"/>
      <c r="D23" s="29" t="n"/>
      <c r="E23" s="29" t="n"/>
      <c r="F23" s="33" t="n"/>
      <c r="G23" s="31" t="n"/>
      <c r="H23" s="17">
        <f>IF(OR(F23="",G23=""),"",F23*G23)</f>
        <v/>
      </c>
      <c r="I23" s="31" t="n"/>
      <c r="J23" s="13">
        <f>IF(OR(G23="",I23=""),"",G23*I23)</f>
        <v/>
      </c>
      <c r="K23" s="31" t="n"/>
      <c r="L23" s="13">
        <f>IF(J23="","",J23-IF(K23="",0,K23))</f>
        <v/>
      </c>
      <c r="M23" s="31" t="n"/>
      <c r="N23" s="13">
        <f>IF(L23="","",L23-IF(M23="",0,M23))</f>
        <v/>
      </c>
      <c r="O23" s="29" t="n"/>
      <c r="P23" s="21">
        <f>IF(B23="","",VALUE(LEFT(B23,4)))</f>
        <v/>
      </c>
      <c r="Q23" s="21">
        <f>IF(B23="","",VALUE(MID(B23,6,2)))</f>
        <v/>
      </c>
    </row>
    <row r="24" ht="20" customHeight="1">
      <c r="A24" s="21">
        <f>IF(B24="","",ROW()-3)</f>
        <v/>
      </c>
      <c r="B24" s="29" t="n"/>
      <c r="C24" s="29" t="n"/>
      <c r="D24" s="29" t="n"/>
      <c r="E24" s="29" t="n"/>
      <c r="F24" s="33" t="n"/>
      <c r="G24" s="31" t="n"/>
      <c r="H24" s="17">
        <f>IF(OR(F24="",G24=""),"",F24*G24)</f>
        <v/>
      </c>
      <c r="I24" s="31" t="n"/>
      <c r="J24" s="13">
        <f>IF(OR(G24="",I24=""),"",G24*I24)</f>
        <v/>
      </c>
      <c r="K24" s="31" t="n"/>
      <c r="L24" s="13">
        <f>IF(J24="","",J24-IF(K24="",0,K24))</f>
        <v/>
      </c>
      <c r="M24" s="31" t="n"/>
      <c r="N24" s="13">
        <f>IF(L24="","",L24-IF(M24="",0,M24))</f>
        <v/>
      </c>
      <c r="O24" s="29" t="n"/>
      <c r="P24" s="21">
        <f>IF(B24="","",VALUE(LEFT(B24,4)))</f>
        <v/>
      </c>
      <c r="Q24" s="21">
        <f>IF(B24="","",VALUE(MID(B24,6,2)))</f>
        <v/>
      </c>
    </row>
    <row r="25" ht="20" customHeight="1">
      <c r="A25" s="21">
        <f>IF(B25="","",ROW()-3)</f>
        <v/>
      </c>
      <c r="B25" s="29" t="n"/>
      <c r="C25" s="29" t="n"/>
      <c r="D25" s="29" t="n"/>
      <c r="E25" s="29" t="n"/>
      <c r="F25" s="33" t="n"/>
      <c r="G25" s="31" t="n"/>
      <c r="H25" s="17">
        <f>IF(OR(F25="",G25=""),"",F25*G25)</f>
        <v/>
      </c>
      <c r="I25" s="31" t="n"/>
      <c r="J25" s="13">
        <f>IF(OR(G25="",I25=""),"",G25*I25)</f>
        <v/>
      </c>
      <c r="K25" s="31" t="n"/>
      <c r="L25" s="13">
        <f>IF(J25="","",J25-IF(K25="",0,K25))</f>
        <v/>
      </c>
      <c r="M25" s="31" t="n"/>
      <c r="N25" s="13">
        <f>IF(L25="","",L25-IF(M25="",0,M25))</f>
        <v/>
      </c>
      <c r="O25" s="29" t="n"/>
      <c r="P25" s="21">
        <f>IF(B25="","",VALUE(LEFT(B25,4)))</f>
        <v/>
      </c>
      <c r="Q25" s="21">
        <f>IF(B25="","",VALUE(MID(B25,6,2)))</f>
        <v/>
      </c>
    </row>
    <row r="26" ht="20" customHeight="1">
      <c r="A26" s="21">
        <f>IF(B26="","",ROW()-3)</f>
        <v/>
      </c>
      <c r="B26" s="29" t="n"/>
      <c r="C26" s="29" t="n"/>
      <c r="D26" s="29" t="n"/>
      <c r="E26" s="29" t="n"/>
      <c r="F26" s="33" t="n"/>
      <c r="G26" s="31" t="n"/>
      <c r="H26" s="17">
        <f>IF(OR(F26="",G26=""),"",F26*G26)</f>
        <v/>
      </c>
      <c r="I26" s="31" t="n"/>
      <c r="J26" s="13">
        <f>IF(OR(G26="",I26=""),"",G26*I26)</f>
        <v/>
      </c>
      <c r="K26" s="31" t="n"/>
      <c r="L26" s="13">
        <f>IF(J26="","",J26-IF(K26="",0,K26))</f>
        <v/>
      </c>
      <c r="M26" s="31" t="n"/>
      <c r="N26" s="13">
        <f>IF(L26="","",L26-IF(M26="",0,M26))</f>
        <v/>
      </c>
      <c r="O26" s="29" t="n"/>
      <c r="P26" s="21">
        <f>IF(B26="","",VALUE(LEFT(B26,4)))</f>
        <v/>
      </c>
      <c r="Q26" s="21">
        <f>IF(B26="","",VALUE(MID(B26,6,2)))</f>
        <v/>
      </c>
    </row>
    <row r="27" ht="20" customHeight="1">
      <c r="A27" s="21">
        <f>IF(B27="","",ROW()-3)</f>
        <v/>
      </c>
      <c r="B27" s="29" t="n"/>
      <c r="C27" s="29" t="n"/>
      <c r="D27" s="29" t="n"/>
      <c r="E27" s="29" t="n"/>
      <c r="F27" s="33" t="n"/>
      <c r="G27" s="31" t="n"/>
      <c r="H27" s="17">
        <f>IF(OR(F27="",G27=""),"",F27*G27)</f>
        <v/>
      </c>
      <c r="I27" s="31" t="n"/>
      <c r="J27" s="13">
        <f>IF(OR(G27="",I27=""),"",G27*I27)</f>
        <v/>
      </c>
      <c r="K27" s="31" t="n"/>
      <c r="L27" s="13">
        <f>IF(J27="","",J27-IF(K27="",0,K27))</f>
        <v/>
      </c>
      <c r="M27" s="31" t="n"/>
      <c r="N27" s="13">
        <f>IF(L27="","",L27-IF(M27="",0,M27))</f>
        <v/>
      </c>
      <c r="O27" s="29" t="n"/>
      <c r="P27" s="21">
        <f>IF(B27="","",VALUE(LEFT(B27,4)))</f>
        <v/>
      </c>
      <c r="Q27" s="21">
        <f>IF(B27="","",VALUE(MID(B27,6,2)))</f>
        <v/>
      </c>
    </row>
    <row r="28" ht="20" customHeight="1">
      <c r="A28" s="21">
        <f>IF(B28="","",ROW()-3)</f>
        <v/>
      </c>
      <c r="B28" s="29" t="n"/>
      <c r="C28" s="29" t="n"/>
      <c r="D28" s="29" t="n"/>
      <c r="E28" s="29" t="n"/>
      <c r="F28" s="33" t="n"/>
      <c r="G28" s="31" t="n"/>
      <c r="H28" s="17">
        <f>IF(OR(F28="",G28=""),"",F28*G28)</f>
        <v/>
      </c>
      <c r="I28" s="31" t="n"/>
      <c r="J28" s="13">
        <f>IF(OR(G28="",I28=""),"",G28*I28)</f>
        <v/>
      </c>
      <c r="K28" s="31" t="n"/>
      <c r="L28" s="13">
        <f>IF(J28="","",J28-IF(K28="",0,K28))</f>
        <v/>
      </c>
      <c r="M28" s="31" t="n"/>
      <c r="N28" s="13">
        <f>IF(L28="","",L28-IF(M28="",0,M28))</f>
        <v/>
      </c>
      <c r="O28" s="29" t="n"/>
      <c r="P28" s="21">
        <f>IF(B28="","",VALUE(LEFT(B28,4)))</f>
        <v/>
      </c>
      <c r="Q28" s="21">
        <f>IF(B28="","",VALUE(MID(B28,6,2)))</f>
        <v/>
      </c>
    </row>
    <row r="29" ht="20" customHeight="1">
      <c r="A29" s="21">
        <f>IF(B29="","",ROW()-3)</f>
        <v/>
      </c>
      <c r="B29" s="29" t="n"/>
      <c r="C29" s="29" t="n"/>
      <c r="D29" s="29" t="n"/>
      <c r="E29" s="29" t="n"/>
      <c r="F29" s="33" t="n"/>
      <c r="G29" s="31" t="n"/>
      <c r="H29" s="17">
        <f>IF(OR(F29="",G29=""),"",F29*G29)</f>
        <v/>
      </c>
      <c r="I29" s="31" t="n"/>
      <c r="J29" s="13">
        <f>IF(OR(G29="",I29=""),"",G29*I29)</f>
        <v/>
      </c>
      <c r="K29" s="31" t="n"/>
      <c r="L29" s="13">
        <f>IF(J29="","",J29-IF(K29="",0,K29))</f>
        <v/>
      </c>
      <c r="M29" s="31" t="n"/>
      <c r="N29" s="13">
        <f>IF(L29="","",L29-IF(M29="",0,M29))</f>
        <v/>
      </c>
      <c r="O29" s="29" t="n"/>
      <c r="P29" s="21">
        <f>IF(B29="","",VALUE(LEFT(B29,4)))</f>
        <v/>
      </c>
      <c r="Q29" s="21">
        <f>IF(B29="","",VALUE(MID(B29,6,2)))</f>
        <v/>
      </c>
    </row>
    <row r="30" ht="20" customHeight="1">
      <c r="A30" s="21">
        <f>IF(B30="","",ROW()-3)</f>
        <v/>
      </c>
      <c r="B30" s="29" t="n"/>
      <c r="C30" s="29" t="n"/>
      <c r="D30" s="29" t="n"/>
      <c r="E30" s="29" t="n"/>
      <c r="F30" s="33" t="n"/>
      <c r="G30" s="31" t="n"/>
      <c r="H30" s="17">
        <f>IF(OR(F30="",G30=""),"",F30*G30)</f>
        <v/>
      </c>
      <c r="I30" s="31" t="n"/>
      <c r="J30" s="13">
        <f>IF(OR(G30="",I30=""),"",G30*I30)</f>
        <v/>
      </c>
      <c r="K30" s="31" t="n"/>
      <c r="L30" s="13">
        <f>IF(J30="","",J30-IF(K30="",0,K30))</f>
        <v/>
      </c>
      <c r="M30" s="31" t="n"/>
      <c r="N30" s="13">
        <f>IF(L30="","",L30-IF(M30="",0,M30))</f>
        <v/>
      </c>
      <c r="O30" s="29" t="n"/>
      <c r="P30" s="21">
        <f>IF(B30="","",VALUE(LEFT(B30,4)))</f>
        <v/>
      </c>
      <c r="Q30" s="21">
        <f>IF(B30="","",VALUE(MID(B30,6,2)))</f>
        <v/>
      </c>
    </row>
    <row r="31" ht="20" customHeight="1">
      <c r="A31" s="21">
        <f>IF(B31="","",ROW()-3)</f>
        <v/>
      </c>
      <c r="B31" s="29" t="n"/>
      <c r="C31" s="29" t="n"/>
      <c r="D31" s="29" t="n"/>
      <c r="E31" s="29" t="n"/>
      <c r="F31" s="33" t="n"/>
      <c r="G31" s="31" t="n"/>
      <c r="H31" s="17">
        <f>IF(OR(F31="",G31=""),"",F31*G31)</f>
        <v/>
      </c>
      <c r="I31" s="31" t="n"/>
      <c r="J31" s="13">
        <f>IF(OR(G31="",I31=""),"",G31*I31)</f>
        <v/>
      </c>
      <c r="K31" s="31" t="n"/>
      <c r="L31" s="13">
        <f>IF(J31="","",J31-IF(K31="",0,K31))</f>
        <v/>
      </c>
      <c r="M31" s="31" t="n"/>
      <c r="N31" s="13">
        <f>IF(L31="","",L31-IF(M31="",0,M31))</f>
        <v/>
      </c>
      <c r="O31" s="29" t="n"/>
      <c r="P31" s="21">
        <f>IF(B31="","",VALUE(LEFT(B31,4)))</f>
        <v/>
      </c>
      <c r="Q31" s="21">
        <f>IF(B31="","",VALUE(MID(B31,6,2)))</f>
        <v/>
      </c>
    </row>
    <row r="32" ht="20" customHeight="1">
      <c r="A32" s="21">
        <f>IF(B32="","",ROW()-3)</f>
        <v/>
      </c>
      <c r="B32" s="29" t="n"/>
      <c r="C32" s="29" t="n"/>
      <c r="D32" s="29" t="n"/>
      <c r="E32" s="29" t="n"/>
      <c r="F32" s="33" t="n"/>
      <c r="G32" s="31" t="n"/>
      <c r="H32" s="17">
        <f>IF(OR(F32="",G32=""),"",F32*G32)</f>
        <v/>
      </c>
      <c r="I32" s="31" t="n"/>
      <c r="J32" s="13">
        <f>IF(OR(G32="",I32=""),"",G32*I32)</f>
        <v/>
      </c>
      <c r="K32" s="31" t="n"/>
      <c r="L32" s="13">
        <f>IF(J32="","",J32-IF(K32="",0,K32))</f>
        <v/>
      </c>
      <c r="M32" s="31" t="n"/>
      <c r="N32" s="13">
        <f>IF(L32="","",L32-IF(M32="",0,M32))</f>
        <v/>
      </c>
      <c r="O32" s="29" t="n"/>
      <c r="P32" s="21">
        <f>IF(B32="","",VALUE(LEFT(B32,4)))</f>
        <v/>
      </c>
      <c r="Q32" s="21">
        <f>IF(B32="","",VALUE(MID(B32,6,2)))</f>
        <v/>
      </c>
    </row>
    <row r="33" ht="20" customHeight="1">
      <c r="A33" s="21">
        <f>IF(B33="","",ROW()-3)</f>
        <v/>
      </c>
      <c r="B33" s="29" t="n"/>
      <c r="C33" s="29" t="n"/>
      <c r="D33" s="29" t="n"/>
      <c r="E33" s="29" t="n"/>
      <c r="F33" s="33" t="n"/>
      <c r="G33" s="31" t="n"/>
      <c r="H33" s="17">
        <f>IF(OR(F33="",G33=""),"",F33*G33)</f>
        <v/>
      </c>
      <c r="I33" s="31" t="n"/>
      <c r="J33" s="13">
        <f>IF(OR(G33="",I33=""),"",G33*I33)</f>
        <v/>
      </c>
      <c r="K33" s="31" t="n"/>
      <c r="L33" s="13">
        <f>IF(J33="","",J33-IF(K33="",0,K33))</f>
        <v/>
      </c>
      <c r="M33" s="31" t="n"/>
      <c r="N33" s="13">
        <f>IF(L33="","",L33-IF(M33="",0,M33))</f>
        <v/>
      </c>
      <c r="O33" s="29" t="n"/>
      <c r="P33" s="21">
        <f>IF(B33="","",VALUE(LEFT(B33,4)))</f>
        <v/>
      </c>
      <c r="Q33" s="21">
        <f>IF(B33="","",VALUE(MID(B33,6,2)))</f>
        <v/>
      </c>
    </row>
    <row r="34" ht="20" customHeight="1">
      <c r="A34" s="21">
        <f>IF(B34="","",ROW()-3)</f>
        <v/>
      </c>
      <c r="B34" s="29" t="n"/>
      <c r="C34" s="29" t="n"/>
      <c r="D34" s="29" t="n"/>
      <c r="E34" s="29" t="n"/>
      <c r="F34" s="33" t="n"/>
      <c r="G34" s="31" t="n"/>
      <c r="H34" s="17">
        <f>IF(OR(F34="",G34=""),"",F34*G34)</f>
        <v/>
      </c>
      <c r="I34" s="31" t="n"/>
      <c r="J34" s="13">
        <f>IF(OR(G34="",I34=""),"",G34*I34)</f>
        <v/>
      </c>
      <c r="K34" s="31" t="n"/>
      <c r="L34" s="13">
        <f>IF(J34="","",J34-IF(K34="",0,K34))</f>
        <v/>
      </c>
      <c r="M34" s="31" t="n"/>
      <c r="N34" s="13">
        <f>IF(L34="","",L34-IF(M34="",0,M34))</f>
        <v/>
      </c>
      <c r="O34" s="29" t="n"/>
      <c r="P34" s="21">
        <f>IF(B34="","",VALUE(LEFT(B34,4)))</f>
        <v/>
      </c>
      <c r="Q34" s="21">
        <f>IF(B34="","",VALUE(MID(B34,6,2)))</f>
        <v/>
      </c>
    </row>
    <row r="35" ht="20" customHeight="1">
      <c r="A35" s="21">
        <f>IF(B35="","",ROW()-3)</f>
        <v/>
      </c>
      <c r="B35" s="29" t="n"/>
      <c r="C35" s="29" t="n"/>
      <c r="D35" s="29" t="n"/>
      <c r="E35" s="29" t="n"/>
      <c r="F35" s="33" t="n"/>
      <c r="G35" s="31" t="n"/>
      <c r="H35" s="17">
        <f>IF(OR(F35="",G35=""),"",F35*G35)</f>
        <v/>
      </c>
      <c r="I35" s="31" t="n"/>
      <c r="J35" s="13">
        <f>IF(OR(G35="",I35=""),"",G35*I35)</f>
        <v/>
      </c>
      <c r="K35" s="31" t="n"/>
      <c r="L35" s="13">
        <f>IF(J35="","",J35-IF(K35="",0,K35))</f>
        <v/>
      </c>
      <c r="M35" s="31" t="n"/>
      <c r="N35" s="13">
        <f>IF(L35="","",L35-IF(M35="",0,M35))</f>
        <v/>
      </c>
      <c r="O35" s="29" t="n"/>
      <c r="P35" s="21">
        <f>IF(B35="","",VALUE(LEFT(B35,4)))</f>
        <v/>
      </c>
      <c r="Q35" s="21">
        <f>IF(B35="","",VALUE(MID(B35,6,2)))</f>
        <v/>
      </c>
    </row>
    <row r="36" ht="20" customHeight="1">
      <c r="A36" s="21">
        <f>IF(B36="","",ROW()-3)</f>
        <v/>
      </c>
      <c r="B36" s="29" t="n"/>
      <c r="C36" s="29" t="n"/>
      <c r="D36" s="29" t="n"/>
      <c r="E36" s="29" t="n"/>
      <c r="F36" s="33" t="n"/>
      <c r="G36" s="31" t="n"/>
      <c r="H36" s="17">
        <f>IF(OR(F36="",G36=""),"",F36*G36)</f>
        <v/>
      </c>
      <c r="I36" s="31" t="n"/>
      <c r="J36" s="13">
        <f>IF(OR(G36="",I36=""),"",G36*I36)</f>
        <v/>
      </c>
      <c r="K36" s="31" t="n"/>
      <c r="L36" s="13">
        <f>IF(J36="","",J36-IF(K36="",0,K36))</f>
        <v/>
      </c>
      <c r="M36" s="31" t="n"/>
      <c r="N36" s="13">
        <f>IF(L36="","",L36-IF(M36="",0,M36))</f>
        <v/>
      </c>
      <c r="O36" s="29" t="n"/>
      <c r="P36" s="21">
        <f>IF(B36="","",VALUE(LEFT(B36,4)))</f>
        <v/>
      </c>
      <c r="Q36" s="21">
        <f>IF(B36="","",VALUE(MID(B36,6,2)))</f>
        <v/>
      </c>
    </row>
    <row r="37" ht="20" customHeight="1">
      <c r="A37" s="21">
        <f>IF(B37="","",ROW()-3)</f>
        <v/>
      </c>
      <c r="B37" s="29" t="n"/>
      <c r="C37" s="29" t="n"/>
      <c r="D37" s="29" t="n"/>
      <c r="E37" s="29" t="n"/>
      <c r="F37" s="33" t="n"/>
      <c r="G37" s="31" t="n"/>
      <c r="H37" s="17">
        <f>IF(OR(F37="",G37=""),"",F37*G37)</f>
        <v/>
      </c>
      <c r="I37" s="31" t="n"/>
      <c r="J37" s="13">
        <f>IF(OR(G37="",I37=""),"",G37*I37)</f>
        <v/>
      </c>
      <c r="K37" s="31" t="n"/>
      <c r="L37" s="13">
        <f>IF(J37="","",J37-IF(K37="",0,K37))</f>
        <v/>
      </c>
      <c r="M37" s="31" t="n"/>
      <c r="N37" s="13">
        <f>IF(L37="","",L37-IF(M37="",0,M37))</f>
        <v/>
      </c>
      <c r="O37" s="29" t="n"/>
      <c r="P37" s="21">
        <f>IF(B37="","",VALUE(LEFT(B37,4)))</f>
        <v/>
      </c>
      <c r="Q37" s="21">
        <f>IF(B37="","",VALUE(MID(B37,6,2)))</f>
        <v/>
      </c>
    </row>
    <row r="38" ht="20" customHeight="1">
      <c r="A38" s="21">
        <f>IF(B38="","",ROW()-3)</f>
        <v/>
      </c>
      <c r="B38" s="29" t="n"/>
      <c r="C38" s="29" t="n"/>
      <c r="D38" s="29" t="n"/>
      <c r="E38" s="29" t="n"/>
      <c r="F38" s="33" t="n"/>
      <c r="G38" s="31" t="n"/>
      <c r="H38" s="17">
        <f>IF(OR(F38="",G38=""),"",F38*G38)</f>
        <v/>
      </c>
      <c r="I38" s="31" t="n"/>
      <c r="J38" s="13">
        <f>IF(OR(G38="",I38=""),"",G38*I38)</f>
        <v/>
      </c>
      <c r="K38" s="31" t="n"/>
      <c r="L38" s="13">
        <f>IF(J38="","",J38-IF(K38="",0,K38))</f>
        <v/>
      </c>
      <c r="M38" s="31" t="n"/>
      <c r="N38" s="13">
        <f>IF(L38="","",L38-IF(M38="",0,M38))</f>
        <v/>
      </c>
      <c r="O38" s="29" t="n"/>
      <c r="P38" s="21">
        <f>IF(B38="","",VALUE(LEFT(B38,4)))</f>
        <v/>
      </c>
      <c r="Q38" s="21">
        <f>IF(B38="","",VALUE(MID(B38,6,2)))</f>
        <v/>
      </c>
    </row>
    <row r="39" ht="20" customHeight="1">
      <c r="A39" s="21">
        <f>IF(B39="","",ROW()-3)</f>
        <v/>
      </c>
      <c r="B39" s="29" t="n"/>
      <c r="C39" s="29" t="n"/>
      <c r="D39" s="29" t="n"/>
      <c r="E39" s="29" t="n"/>
      <c r="F39" s="33" t="n"/>
      <c r="G39" s="31" t="n"/>
      <c r="H39" s="17">
        <f>IF(OR(F39="",G39=""),"",F39*G39)</f>
        <v/>
      </c>
      <c r="I39" s="31" t="n"/>
      <c r="J39" s="13">
        <f>IF(OR(G39="",I39=""),"",G39*I39)</f>
        <v/>
      </c>
      <c r="K39" s="31" t="n"/>
      <c r="L39" s="13">
        <f>IF(J39="","",J39-IF(K39="",0,K39))</f>
        <v/>
      </c>
      <c r="M39" s="31" t="n"/>
      <c r="N39" s="13">
        <f>IF(L39="","",L39-IF(M39="",0,M39))</f>
        <v/>
      </c>
      <c r="O39" s="29" t="n"/>
      <c r="P39" s="21">
        <f>IF(B39="","",VALUE(LEFT(B39,4)))</f>
        <v/>
      </c>
      <c r="Q39" s="21">
        <f>IF(B39="","",VALUE(MID(B39,6,2)))</f>
        <v/>
      </c>
    </row>
    <row r="40" ht="20" customHeight="1">
      <c r="A40" s="21">
        <f>IF(B40="","",ROW()-3)</f>
        <v/>
      </c>
      <c r="B40" s="29" t="n"/>
      <c r="C40" s="29" t="n"/>
      <c r="D40" s="29" t="n"/>
      <c r="E40" s="29" t="n"/>
      <c r="F40" s="33" t="n"/>
      <c r="G40" s="31" t="n"/>
      <c r="H40" s="17">
        <f>IF(OR(F40="",G40=""),"",F40*G40)</f>
        <v/>
      </c>
      <c r="I40" s="31" t="n"/>
      <c r="J40" s="13">
        <f>IF(OR(G40="",I40=""),"",G40*I40)</f>
        <v/>
      </c>
      <c r="K40" s="31" t="n"/>
      <c r="L40" s="13">
        <f>IF(J40="","",J40-IF(K40="",0,K40))</f>
        <v/>
      </c>
      <c r="M40" s="31" t="n"/>
      <c r="N40" s="13">
        <f>IF(L40="","",L40-IF(M40="",0,M40))</f>
        <v/>
      </c>
      <c r="O40" s="29" t="n"/>
      <c r="P40" s="21">
        <f>IF(B40="","",VALUE(LEFT(B40,4)))</f>
        <v/>
      </c>
      <c r="Q40" s="21">
        <f>IF(B40="","",VALUE(MID(B40,6,2)))</f>
        <v/>
      </c>
    </row>
    <row r="41" ht="20" customHeight="1">
      <c r="A41" s="21">
        <f>IF(B41="","",ROW()-3)</f>
        <v/>
      </c>
      <c r="B41" s="29" t="n"/>
      <c r="C41" s="29" t="n"/>
      <c r="D41" s="29" t="n"/>
      <c r="E41" s="29" t="n"/>
      <c r="F41" s="33" t="n"/>
      <c r="G41" s="31" t="n"/>
      <c r="H41" s="17">
        <f>IF(OR(F41="",G41=""),"",F41*G41)</f>
        <v/>
      </c>
      <c r="I41" s="31" t="n"/>
      <c r="J41" s="13">
        <f>IF(OR(G41="",I41=""),"",G41*I41)</f>
        <v/>
      </c>
      <c r="K41" s="31" t="n"/>
      <c r="L41" s="13">
        <f>IF(J41="","",J41-IF(K41="",0,K41))</f>
        <v/>
      </c>
      <c r="M41" s="31" t="n"/>
      <c r="N41" s="13">
        <f>IF(L41="","",L41-IF(M41="",0,M41))</f>
        <v/>
      </c>
      <c r="O41" s="29" t="n"/>
      <c r="P41" s="21">
        <f>IF(B41="","",VALUE(LEFT(B41,4)))</f>
        <v/>
      </c>
      <c r="Q41" s="21">
        <f>IF(B41="","",VALUE(MID(B41,6,2)))</f>
        <v/>
      </c>
    </row>
    <row r="42" ht="20" customHeight="1">
      <c r="A42" s="21">
        <f>IF(B42="","",ROW()-3)</f>
        <v/>
      </c>
      <c r="B42" s="29" t="n"/>
      <c r="C42" s="29" t="n"/>
      <c r="D42" s="29" t="n"/>
      <c r="E42" s="29" t="n"/>
      <c r="F42" s="33" t="n"/>
      <c r="G42" s="31" t="n"/>
      <c r="H42" s="17">
        <f>IF(OR(F42="",G42=""),"",F42*G42)</f>
        <v/>
      </c>
      <c r="I42" s="31" t="n"/>
      <c r="J42" s="13">
        <f>IF(OR(G42="",I42=""),"",G42*I42)</f>
        <v/>
      </c>
      <c r="K42" s="31" t="n"/>
      <c r="L42" s="13">
        <f>IF(J42="","",J42-IF(K42="",0,K42))</f>
        <v/>
      </c>
      <c r="M42" s="31" t="n"/>
      <c r="N42" s="13">
        <f>IF(L42="","",L42-IF(M42="",0,M42))</f>
        <v/>
      </c>
      <c r="O42" s="29" t="n"/>
      <c r="P42" s="21">
        <f>IF(B42="","",VALUE(LEFT(B42,4)))</f>
        <v/>
      </c>
      <c r="Q42" s="21">
        <f>IF(B42="","",VALUE(MID(B42,6,2)))</f>
        <v/>
      </c>
    </row>
    <row r="43" ht="20" customHeight="1">
      <c r="A43" s="21">
        <f>IF(B43="","",ROW()-3)</f>
        <v/>
      </c>
      <c r="B43" s="29" t="n"/>
      <c r="C43" s="29" t="n"/>
      <c r="D43" s="29" t="n"/>
      <c r="E43" s="29" t="n"/>
      <c r="F43" s="33" t="n"/>
      <c r="G43" s="31" t="n"/>
      <c r="H43" s="17">
        <f>IF(OR(F43="",G43=""),"",F43*G43)</f>
        <v/>
      </c>
      <c r="I43" s="31" t="n"/>
      <c r="J43" s="13">
        <f>IF(OR(G43="",I43=""),"",G43*I43)</f>
        <v/>
      </c>
      <c r="K43" s="31" t="n"/>
      <c r="L43" s="13">
        <f>IF(J43="","",J43-IF(K43="",0,K43))</f>
        <v/>
      </c>
      <c r="M43" s="31" t="n"/>
      <c r="N43" s="13">
        <f>IF(L43="","",L43-IF(M43="",0,M43))</f>
        <v/>
      </c>
      <c r="O43" s="29" t="n"/>
      <c r="P43" s="21">
        <f>IF(B43="","",VALUE(LEFT(B43,4)))</f>
        <v/>
      </c>
      <c r="Q43" s="21">
        <f>IF(B43="","",VALUE(MID(B43,6,2)))</f>
        <v/>
      </c>
    </row>
    <row r="44" ht="20" customHeight="1">
      <c r="A44" s="21">
        <f>IF(B44="","",ROW()-3)</f>
        <v/>
      </c>
      <c r="B44" s="29" t="n"/>
      <c r="C44" s="29" t="n"/>
      <c r="D44" s="29" t="n"/>
      <c r="E44" s="29" t="n"/>
      <c r="F44" s="33" t="n"/>
      <c r="G44" s="31" t="n"/>
      <c r="H44" s="17">
        <f>IF(OR(F44="",G44=""),"",F44*G44)</f>
        <v/>
      </c>
      <c r="I44" s="31" t="n"/>
      <c r="J44" s="13">
        <f>IF(OR(G44="",I44=""),"",G44*I44)</f>
        <v/>
      </c>
      <c r="K44" s="31" t="n"/>
      <c r="L44" s="13">
        <f>IF(J44="","",J44-IF(K44="",0,K44))</f>
        <v/>
      </c>
      <c r="M44" s="31" t="n"/>
      <c r="N44" s="13">
        <f>IF(L44="","",L44-IF(M44="",0,M44))</f>
        <v/>
      </c>
      <c r="O44" s="29" t="n"/>
      <c r="P44" s="21">
        <f>IF(B44="","",VALUE(LEFT(B44,4)))</f>
        <v/>
      </c>
      <c r="Q44" s="21">
        <f>IF(B44="","",VALUE(MID(B44,6,2)))</f>
        <v/>
      </c>
    </row>
    <row r="45" ht="20" customHeight="1">
      <c r="A45" s="21">
        <f>IF(B45="","",ROW()-3)</f>
        <v/>
      </c>
      <c r="B45" s="29" t="n"/>
      <c r="C45" s="29" t="n"/>
      <c r="D45" s="29" t="n"/>
      <c r="E45" s="29" t="n"/>
      <c r="F45" s="33" t="n"/>
      <c r="G45" s="31" t="n"/>
      <c r="H45" s="17">
        <f>IF(OR(F45="",G45=""),"",F45*G45)</f>
        <v/>
      </c>
      <c r="I45" s="31" t="n"/>
      <c r="J45" s="13">
        <f>IF(OR(G45="",I45=""),"",G45*I45)</f>
        <v/>
      </c>
      <c r="K45" s="31" t="n"/>
      <c r="L45" s="13">
        <f>IF(J45="","",J45-IF(K45="",0,K45))</f>
        <v/>
      </c>
      <c r="M45" s="31" t="n"/>
      <c r="N45" s="13">
        <f>IF(L45="","",L45-IF(M45="",0,M45))</f>
        <v/>
      </c>
      <c r="O45" s="29" t="n"/>
      <c r="P45" s="21">
        <f>IF(B45="","",VALUE(LEFT(B45,4)))</f>
        <v/>
      </c>
      <c r="Q45" s="21">
        <f>IF(B45="","",VALUE(MID(B45,6,2)))</f>
        <v/>
      </c>
    </row>
    <row r="46" ht="20" customHeight="1">
      <c r="A46" s="21">
        <f>IF(B46="","",ROW()-3)</f>
        <v/>
      </c>
      <c r="B46" s="29" t="n"/>
      <c r="C46" s="29" t="n"/>
      <c r="D46" s="29" t="n"/>
      <c r="E46" s="29" t="n"/>
      <c r="F46" s="33" t="n"/>
      <c r="G46" s="31" t="n"/>
      <c r="H46" s="17">
        <f>IF(OR(F46="",G46=""),"",F46*G46)</f>
        <v/>
      </c>
      <c r="I46" s="31" t="n"/>
      <c r="J46" s="13">
        <f>IF(OR(G46="",I46=""),"",G46*I46)</f>
        <v/>
      </c>
      <c r="K46" s="31" t="n"/>
      <c r="L46" s="13">
        <f>IF(J46="","",J46-IF(K46="",0,K46))</f>
        <v/>
      </c>
      <c r="M46" s="31" t="n"/>
      <c r="N46" s="13">
        <f>IF(L46="","",L46-IF(M46="",0,M46))</f>
        <v/>
      </c>
      <c r="O46" s="29" t="n"/>
      <c r="P46" s="21">
        <f>IF(B46="","",VALUE(LEFT(B46,4)))</f>
        <v/>
      </c>
      <c r="Q46" s="21">
        <f>IF(B46="","",VALUE(MID(B46,6,2)))</f>
        <v/>
      </c>
    </row>
    <row r="47" ht="20" customHeight="1">
      <c r="A47" s="21">
        <f>IF(B47="","",ROW()-3)</f>
        <v/>
      </c>
      <c r="B47" s="29" t="n"/>
      <c r="C47" s="29" t="n"/>
      <c r="D47" s="29" t="n"/>
      <c r="E47" s="29" t="n"/>
      <c r="F47" s="33" t="n"/>
      <c r="G47" s="31" t="n"/>
      <c r="H47" s="17">
        <f>IF(OR(F47="",G47=""),"",F47*G47)</f>
        <v/>
      </c>
      <c r="I47" s="31" t="n"/>
      <c r="J47" s="13">
        <f>IF(OR(G47="",I47=""),"",G47*I47)</f>
        <v/>
      </c>
      <c r="K47" s="31" t="n"/>
      <c r="L47" s="13">
        <f>IF(J47="","",J47-IF(K47="",0,K47))</f>
        <v/>
      </c>
      <c r="M47" s="31" t="n"/>
      <c r="N47" s="13">
        <f>IF(L47="","",L47-IF(M47="",0,M47))</f>
        <v/>
      </c>
      <c r="O47" s="29" t="n"/>
      <c r="P47" s="21">
        <f>IF(B47="","",VALUE(LEFT(B47,4)))</f>
        <v/>
      </c>
      <c r="Q47" s="21">
        <f>IF(B47="","",VALUE(MID(B47,6,2)))</f>
        <v/>
      </c>
    </row>
    <row r="48" ht="20" customHeight="1">
      <c r="A48" s="21">
        <f>IF(B48="","",ROW()-3)</f>
        <v/>
      </c>
      <c r="B48" s="29" t="n"/>
      <c r="C48" s="29" t="n"/>
      <c r="D48" s="29" t="n"/>
      <c r="E48" s="29" t="n"/>
      <c r="F48" s="33" t="n"/>
      <c r="G48" s="31" t="n"/>
      <c r="H48" s="17">
        <f>IF(OR(F48="",G48=""),"",F48*G48)</f>
        <v/>
      </c>
      <c r="I48" s="31" t="n"/>
      <c r="J48" s="13">
        <f>IF(OR(G48="",I48=""),"",G48*I48)</f>
        <v/>
      </c>
      <c r="K48" s="31" t="n"/>
      <c r="L48" s="13">
        <f>IF(J48="","",J48-IF(K48="",0,K48))</f>
        <v/>
      </c>
      <c r="M48" s="31" t="n"/>
      <c r="N48" s="13">
        <f>IF(L48="","",L48-IF(M48="",0,M48))</f>
        <v/>
      </c>
      <c r="O48" s="29" t="n"/>
      <c r="P48" s="21">
        <f>IF(B48="","",VALUE(LEFT(B48,4)))</f>
        <v/>
      </c>
      <c r="Q48" s="21">
        <f>IF(B48="","",VALUE(MID(B48,6,2)))</f>
        <v/>
      </c>
    </row>
    <row r="49" ht="20" customHeight="1">
      <c r="A49" s="21">
        <f>IF(B49="","",ROW()-3)</f>
        <v/>
      </c>
      <c r="B49" s="29" t="n"/>
      <c r="C49" s="29" t="n"/>
      <c r="D49" s="29" t="n"/>
      <c r="E49" s="29" t="n"/>
      <c r="F49" s="33" t="n"/>
      <c r="G49" s="31" t="n"/>
      <c r="H49" s="17">
        <f>IF(OR(F49="",G49=""),"",F49*G49)</f>
        <v/>
      </c>
      <c r="I49" s="31" t="n"/>
      <c r="J49" s="13">
        <f>IF(OR(G49="",I49=""),"",G49*I49)</f>
        <v/>
      </c>
      <c r="K49" s="31" t="n"/>
      <c r="L49" s="13">
        <f>IF(J49="","",J49-IF(K49="",0,K49))</f>
        <v/>
      </c>
      <c r="M49" s="31" t="n"/>
      <c r="N49" s="13">
        <f>IF(L49="","",L49-IF(M49="",0,M49))</f>
        <v/>
      </c>
      <c r="O49" s="29" t="n"/>
      <c r="P49" s="21">
        <f>IF(B49="","",VALUE(LEFT(B49,4)))</f>
        <v/>
      </c>
      <c r="Q49" s="21">
        <f>IF(B49="","",VALUE(MID(B49,6,2)))</f>
        <v/>
      </c>
    </row>
    <row r="50" ht="20" customHeight="1">
      <c r="A50" s="21">
        <f>IF(B50="","",ROW()-3)</f>
        <v/>
      </c>
      <c r="B50" s="29" t="n"/>
      <c r="C50" s="29" t="n"/>
      <c r="D50" s="29" t="n"/>
      <c r="E50" s="29" t="n"/>
      <c r="F50" s="33" t="n"/>
      <c r="G50" s="31" t="n"/>
      <c r="H50" s="17">
        <f>IF(OR(F50="",G50=""),"",F50*G50)</f>
        <v/>
      </c>
      <c r="I50" s="31" t="n"/>
      <c r="J50" s="13">
        <f>IF(OR(G50="",I50=""),"",G50*I50)</f>
        <v/>
      </c>
      <c r="K50" s="31" t="n"/>
      <c r="L50" s="13">
        <f>IF(J50="","",J50-IF(K50="",0,K50))</f>
        <v/>
      </c>
      <c r="M50" s="31" t="n"/>
      <c r="N50" s="13">
        <f>IF(L50="","",L50-IF(M50="",0,M50))</f>
        <v/>
      </c>
      <c r="O50" s="29" t="n"/>
      <c r="P50" s="21">
        <f>IF(B50="","",VALUE(LEFT(B50,4)))</f>
        <v/>
      </c>
      <c r="Q50" s="21">
        <f>IF(B50="","",VALUE(MID(B50,6,2)))</f>
        <v/>
      </c>
    </row>
    <row r="51" ht="20" customHeight="1">
      <c r="A51" s="21">
        <f>IF(B51="","",ROW()-3)</f>
        <v/>
      </c>
      <c r="B51" s="29" t="n"/>
      <c r="C51" s="29" t="n"/>
      <c r="D51" s="29" t="n"/>
      <c r="E51" s="29" t="n"/>
      <c r="F51" s="33" t="n"/>
      <c r="G51" s="31" t="n"/>
      <c r="H51" s="17">
        <f>IF(OR(F51="",G51=""),"",F51*G51)</f>
        <v/>
      </c>
      <c r="I51" s="31" t="n"/>
      <c r="J51" s="13">
        <f>IF(OR(G51="",I51=""),"",G51*I51)</f>
        <v/>
      </c>
      <c r="K51" s="31" t="n"/>
      <c r="L51" s="13">
        <f>IF(J51="","",J51-IF(K51="",0,K51))</f>
        <v/>
      </c>
      <c r="M51" s="31" t="n"/>
      <c r="N51" s="13">
        <f>IF(L51="","",L51-IF(M51="",0,M51))</f>
        <v/>
      </c>
      <c r="O51" s="29" t="n"/>
      <c r="P51" s="21">
        <f>IF(B51="","",VALUE(LEFT(B51,4)))</f>
        <v/>
      </c>
      <c r="Q51" s="21">
        <f>IF(B51="","",VALUE(MID(B51,6,2)))</f>
        <v/>
      </c>
    </row>
    <row r="52" ht="20" customHeight="1">
      <c r="A52" s="21">
        <f>IF(B52="","",ROW()-3)</f>
        <v/>
      </c>
      <c r="B52" s="29" t="n"/>
      <c r="C52" s="29" t="n"/>
      <c r="D52" s="29" t="n"/>
      <c r="E52" s="29" t="n"/>
      <c r="F52" s="33" t="n"/>
      <c r="G52" s="31" t="n"/>
      <c r="H52" s="17">
        <f>IF(OR(F52="",G52=""),"",F52*G52)</f>
        <v/>
      </c>
      <c r="I52" s="31" t="n"/>
      <c r="J52" s="13">
        <f>IF(OR(G52="",I52=""),"",G52*I52)</f>
        <v/>
      </c>
      <c r="K52" s="31" t="n"/>
      <c r="L52" s="13">
        <f>IF(J52="","",J52-IF(K52="",0,K52))</f>
        <v/>
      </c>
      <c r="M52" s="31" t="n"/>
      <c r="N52" s="13">
        <f>IF(L52="","",L52-IF(M52="",0,M52))</f>
        <v/>
      </c>
      <c r="O52" s="29" t="n"/>
      <c r="P52" s="21">
        <f>IF(B52="","",VALUE(LEFT(B52,4)))</f>
        <v/>
      </c>
      <c r="Q52" s="21">
        <f>IF(B52="","",VALUE(MID(B52,6,2)))</f>
        <v/>
      </c>
    </row>
    <row r="53" ht="20" customHeight="1">
      <c r="A53" s="21">
        <f>IF(B53="","",ROW()-3)</f>
        <v/>
      </c>
      <c r="B53" s="29" t="n"/>
      <c r="C53" s="29" t="n"/>
      <c r="D53" s="29" t="n"/>
      <c r="E53" s="29" t="n"/>
      <c r="F53" s="33" t="n"/>
      <c r="G53" s="31" t="n"/>
      <c r="H53" s="17">
        <f>IF(OR(F53="",G53=""),"",F53*G53)</f>
        <v/>
      </c>
      <c r="I53" s="31" t="n"/>
      <c r="J53" s="13">
        <f>IF(OR(G53="",I53=""),"",G53*I53)</f>
        <v/>
      </c>
      <c r="K53" s="31" t="n"/>
      <c r="L53" s="13">
        <f>IF(J53="","",J53-IF(K53="",0,K53))</f>
        <v/>
      </c>
      <c r="M53" s="31" t="n"/>
      <c r="N53" s="13">
        <f>IF(L53="","",L53-IF(M53="",0,M53))</f>
        <v/>
      </c>
      <c r="O53" s="29" t="n"/>
      <c r="P53" s="21">
        <f>IF(B53="","",VALUE(LEFT(B53,4)))</f>
        <v/>
      </c>
      <c r="Q53" s="21">
        <f>IF(B53="","",VALUE(MID(B53,6,2)))</f>
        <v/>
      </c>
    </row>
    <row r="54" ht="20" customHeight="1">
      <c r="A54" s="21">
        <f>IF(B54="","",ROW()-3)</f>
        <v/>
      </c>
      <c r="B54" s="29" t="n"/>
      <c r="C54" s="29" t="n"/>
      <c r="D54" s="29" t="n"/>
      <c r="E54" s="29" t="n"/>
      <c r="F54" s="33" t="n"/>
      <c r="G54" s="31" t="n"/>
      <c r="H54" s="17">
        <f>IF(OR(F54="",G54=""),"",F54*G54)</f>
        <v/>
      </c>
      <c r="I54" s="31" t="n"/>
      <c r="J54" s="13">
        <f>IF(OR(G54="",I54=""),"",G54*I54)</f>
        <v/>
      </c>
      <c r="K54" s="31" t="n"/>
      <c r="L54" s="13">
        <f>IF(J54="","",J54-IF(K54="",0,K54))</f>
        <v/>
      </c>
      <c r="M54" s="31" t="n"/>
      <c r="N54" s="13">
        <f>IF(L54="","",L54-IF(M54="",0,M54))</f>
        <v/>
      </c>
      <c r="O54" s="29" t="n"/>
      <c r="P54" s="21">
        <f>IF(B54="","",VALUE(LEFT(B54,4)))</f>
        <v/>
      </c>
      <c r="Q54" s="21">
        <f>IF(B54="","",VALUE(MID(B54,6,2)))</f>
        <v/>
      </c>
    </row>
    <row r="55" ht="20" customHeight="1">
      <c r="A55" s="21">
        <f>IF(B55="","",ROW()-3)</f>
        <v/>
      </c>
      <c r="B55" s="29" t="n"/>
      <c r="C55" s="29" t="n"/>
      <c r="D55" s="29" t="n"/>
      <c r="E55" s="29" t="n"/>
      <c r="F55" s="33" t="n"/>
      <c r="G55" s="31" t="n"/>
      <c r="H55" s="17">
        <f>IF(OR(F55="",G55=""),"",F55*G55)</f>
        <v/>
      </c>
      <c r="I55" s="31" t="n"/>
      <c r="J55" s="13">
        <f>IF(OR(G55="",I55=""),"",G55*I55)</f>
        <v/>
      </c>
      <c r="K55" s="31" t="n"/>
      <c r="L55" s="13">
        <f>IF(J55="","",J55-IF(K55="",0,K55))</f>
        <v/>
      </c>
      <c r="M55" s="31" t="n"/>
      <c r="N55" s="13">
        <f>IF(L55="","",L55-IF(M55="",0,M55))</f>
        <v/>
      </c>
      <c r="O55" s="29" t="n"/>
      <c r="P55" s="21">
        <f>IF(B55="","",VALUE(LEFT(B55,4)))</f>
        <v/>
      </c>
      <c r="Q55" s="21">
        <f>IF(B55="","",VALUE(MID(B55,6,2)))</f>
        <v/>
      </c>
    </row>
    <row r="56" ht="20" customHeight="1">
      <c r="A56" s="21">
        <f>IF(B56="","",ROW()-3)</f>
        <v/>
      </c>
      <c r="B56" s="29" t="n"/>
      <c r="C56" s="29" t="n"/>
      <c r="D56" s="29" t="n"/>
      <c r="E56" s="29" t="n"/>
      <c r="F56" s="33" t="n"/>
      <c r="G56" s="31" t="n"/>
      <c r="H56" s="17">
        <f>IF(OR(F56="",G56=""),"",F56*G56)</f>
        <v/>
      </c>
      <c r="I56" s="31" t="n"/>
      <c r="J56" s="13">
        <f>IF(OR(G56="",I56=""),"",G56*I56)</f>
        <v/>
      </c>
      <c r="K56" s="31" t="n"/>
      <c r="L56" s="13">
        <f>IF(J56="","",J56-IF(K56="",0,K56))</f>
        <v/>
      </c>
      <c r="M56" s="31" t="n"/>
      <c r="N56" s="13">
        <f>IF(L56="","",L56-IF(M56="",0,M56))</f>
        <v/>
      </c>
      <c r="O56" s="29" t="n"/>
      <c r="P56" s="21">
        <f>IF(B56="","",VALUE(LEFT(B56,4)))</f>
        <v/>
      </c>
      <c r="Q56" s="21">
        <f>IF(B56="","",VALUE(MID(B56,6,2)))</f>
        <v/>
      </c>
    </row>
    <row r="57" ht="20" customHeight="1">
      <c r="A57" s="21">
        <f>IF(B57="","",ROW()-3)</f>
        <v/>
      </c>
      <c r="B57" s="29" t="n"/>
      <c r="C57" s="29" t="n"/>
      <c r="D57" s="29" t="n"/>
      <c r="E57" s="29" t="n"/>
      <c r="F57" s="33" t="n"/>
      <c r="G57" s="31" t="n"/>
      <c r="H57" s="17">
        <f>IF(OR(F57="",G57=""),"",F57*G57)</f>
        <v/>
      </c>
      <c r="I57" s="31" t="n"/>
      <c r="J57" s="13">
        <f>IF(OR(G57="",I57=""),"",G57*I57)</f>
        <v/>
      </c>
      <c r="K57" s="31" t="n"/>
      <c r="L57" s="13">
        <f>IF(J57="","",J57-IF(K57="",0,K57))</f>
        <v/>
      </c>
      <c r="M57" s="31" t="n"/>
      <c r="N57" s="13">
        <f>IF(L57="","",L57-IF(M57="",0,M57))</f>
        <v/>
      </c>
      <c r="O57" s="29" t="n"/>
      <c r="P57" s="21">
        <f>IF(B57="","",VALUE(LEFT(B57,4)))</f>
        <v/>
      </c>
      <c r="Q57" s="21">
        <f>IF(B57="","",VALUE(MID(B57,6,2)))</f>
        <v/>
      </c>
    </row>
    <row r="58" ht="20" customHeight="1">
      <c r="A58" s="21">
        <f>IF(B58="","",ROW()-3)</f>
        <v/>
      </c>
      <c r="B58" s="29" t="n"/>
      <c r="C58" s="29" t="n"/>
      <c r="D58" s="29" t="n"/>
      <c r="E58" s="29" t="n"/>
      <c r="F58" s="33" t="n"/>
      <c r="G58" s="31" t="n"/>
      <c r="H58" s="17">
        <f>IF(OR(F58="",G58=""),"",F58*G58)</f>
        <v/>
      </c>
      <c r="I58" s="31" t="n"/>
      <c r="J58" s="13">
        <f>IF(OR(G58="",I58=""),"",G58*I58)</f>
        <v/>
      </c>
      <c r="K58" s="31" t="n"/>
      <c r="L58" s="13">
        <f>IF(J58="","",J58-IF(K58="",0,K58))</f>
        <v/>
      </c>
      <c r="M58" s="31" t="n"/>
      <c r="N58" s="13">
        <f>IF(L58="","",L58-IF(M58="",0,M58))</f>
        <v/>
      </c>
      <c r="O58" s="29" t="n"/>
      <c r="P58" s="21">
        <f>IF(B58="","",VALUE(LEFT(B58,4)))</f>
        <v/>
      </c>
      <c r="Q58" s="21">
        <f>IF(B58="","",VALUE(MID(B58,6,2)))</f>
        <v/>
      </c>
    </row>
    <row r="59" ht="20" customHeight="1">
      <c r="A59" s="21">
        <f>IF(B59="","",ROW()-3)</f>
        <v/>
      </c>
      <c r="B59" s="29" t="n"/>
      <c r="C59" s="29" t="n"/>
      <c r="D59" s="29" t="n"/>
      <c r="E59" s="29" t="n"/>
      <c r="F59" s="33" t="n"/>
      <c r="G59" s="31" t="n"/>
      <c r="H59" s="17">
        <f>IF(OR(F59="",G59=""),"",F59*G59)</f>
        <v/>
      </c>
      <c r="I59" s="31" t="n"/>
      <c r="J59" s="13">
        <f>IF(OR(G59="",I59=""),"",G59*I59)</f>
        <v/>
      </c>
      <c r="K59" s="31" t="n"/>
      <c r="L59" s="13">
        <f>IF(J59="","",J59-IF(K59="",0,K59))</f>
        <v/>
      </c>
      <c r="M59" s="31" t="n"/>
      <c r="N59" s="13">
        <f>IF(L59="","",L59-IF(M59="",0,M59))</f>
        <v/>
      </c>
      <c r="O59" s="29" t="n"/>
      <c r="P59" s="21">
        <f>IF(B59="","",VALUE(LEFT(B59,4)))</f>
        <v/>
      </c>
      <c r="Q59" s="21">
        <f>IF(B59="","",VALUE(MID(B59,6,2)))</f>
        <v/>
      </c>
    </row>
    <row r="60" ht="20" customHeight="1">
      <c r="A60" s="21">
        <f>IF(B60="","",ROW()-3)</f>
        <v/>
      </c>
      <c r="B60" s="29" t="n"/>
      <c r="C60" s="29" t="n"/>
      <c r="D60" s="29" t="n"/>
      <c r="E60" s="29" t="n"/>
      <c r="F60" s="33" t="n"/>
      <c r="G60" s="31" t="n"/>
      <c r="H60" s="17">
        <f>IF(OR(F60="",G60=""),"",F60*G60)</f>
        <v/>
      </c>
      <c r="I60" s="31" t="n"/>
      <c r="J60" s="13">
        <f>IF(OR(G60="",I60=""),"",G60*I60)</f>
        <v/>
      </c>
      <c r="K60" s="31" t="n"/>
      <c r="L60" s="13">
        <f>IF(J60="","",J60-IF(K60="",0,K60))</f>
        <v/>
      </c>
      <c r="M60" s="31" t="n"/>
      <c r="N60" s="13">
        <f>IF(L60="","",L60-IF(M60="",0,M60))</f>
        <v/>
      </c>
      <c r="O60" s="29" t="n"/>
      <c r="P60" s="21">
        <f>IF(B60="","",VALUE(LEFT(B60,4)))</f>
        <v/>
      </c>
      <c r="Q60" s="21">
        <f>IF(B60="","",VALUE(MID(B60,6,2)))</f>
        <v/>
      </c>
    </row>
    <row r="61" ht="20" customHeight="1">
      <c r="A61" s="21">
        <f>IF(B61="","",ROW()-3)</f>
        <v/>
      </c>
      <c r="B61" s="29" t="n"/>
      <c r="C61" s="29" t="n"/>
      <c r="D61" s="29" t="n"/>
      <c r="E61" s="29" t="n"/>
      <c r="F61" s="33" t="n"/>
      <c r="G61" s="31" t="n"/>
      <c r="H61" s="17">
        <f>IF(OR(F61="",G61=""),"",F61*G61)</f>
        <v/>
      </c>
      <c r="I61" s="31" t="n"/>
      <c r="J61" s="13">
        <f>IF(OR(G61="",I61=""),"",G61*I61)</f>
        <v/>
      </c>
      <c r="K61" s="31" t="n"/>
      <c r="L61" s="13">
        <f>IF(J61="","",J61-IF(K61="",0,K61))</f>
        <v/>
      </c>
      <c r="M61" s="31" t="n"/>
      <c r="N61" s="13">
        <f>IF(L61="","",L61-IF(M61="",0,M61))</f>
        <v/>
      </c>
      <c r="O61" s="29" t="n"/>
      <c r="P61" s="21">
        <f>IF(B61="","",VALUE(LEFT(B61,4)))</f>
        <v/>
      </c>
      <c r="Q61" s="21">
        <f>IF(B61="","",VALUE(MID(B61,6,2)))</f>
        <v/>
      </c>
    </row>
    <row r="62" ht="20" customHeight="1">
      <c r="A62" s="21">
        <f>IF(B62="","",ROW()-3)</f>
        <v/>
      </c>
      <c r="B62" s="29" t="n"/>
      <c r="C62" s="29" t="n"/>
      <c r="D62" s="29" t="n"/>
      <c r="E62" s="29" t="n"/>
      <c r="F62" s="33" t="n"/>
      <c r="G62" s="31" t="n"/>
      <c r="H62" s="17">
        <f>IF(OR(F62="",G62=""),"",F62*G62)</f>
        <v/>
      </c>
      <c r="I62" s="31" t="n"/>
      <c r="J62" s="13">
        <f>IF(OR(G62="",I62=""),"",G62*I62)</f>
        <v/>
      </c>
      <c r="K62" s="31" t="n"/>
      <c r="L62" s="13">
        <f>IF(J62="","",J62-IF(K62="",0,K62))</f>
        <v/>
      </c>
      <c r="M62" s="31" t="n"/>
      <c r="N62" s="13">
        <f>IF(L62="","",L62-IF(M62="",0,M62))</f>
        <v/>
      </c>
      <c r="O62" s="29" t="n"/>
      <c r="P62" s="21">
        <f>IF(B62="","",VALUE(LEFT(B62,4)))</f>
        <v/>
      </c>
      <c r="Q62" s="21">
        <f>IF(B62="","",VALUE(MID(B62,6,2)))</f>
        <v/>
      </c>
    </row>
    <row r="63" ht="20" customHeight="1">
      <c r="A63" s="21">
        <f>IF(B63="","",ROW()-3)</f>
        <v/>
      </c>
      <c r="B63" s="29" t="n"/>
      <c r="C63" s="29" t="n"/>
      <c r="D63" s="29" t="n"/>
      <c r="E63" s="29" t="n"/>
      <c r="F63" s="33" t="n"/>
      <c r="G63" s="31" t="n"/>
      <c r="H63" s="17">
        <f>IF(OR(F63="",G63=""),"",F63*G63)</f>
        <v/>
      </c>
      <c r="I63" s="31" t="n"/>
      <c r="J63" s="13">
        <f>IF(OR(G63="",I63=""),"",G63*I63)</f>
        <v/>
      </c>
      <c r="K63" s="31" t="n"/>
      <c r="L63" s="13">
        <f>IF(J63="","",J63-IF(K63="",0,K63))</f>
        <v/>
      </c>
      <c r="M63" s="31" t="n"/>
      <c r="N63" s="13">
        <f>IF(L63="","",L63-IF(M63="",0,M63))</f>
        <v/>
      </c>
      <c r="O63" s="29" t="n"/>
      <c r="P63" s="21">
        <f>IF(B63="","",VALUE(LEFT(B63,4)))</f>
        <v/>
      </c>
      <c r="Q63" s="21">
        <f>IF(B63="","",VALUE(MID(B63,6,2)))</f>
        <v/>
      </c>
    </row>
    <row r="64" ht="20" customHeight="1">
      <c r="A64" s="21">
        <f>IF(B64="","",ROW()-3)</f>
        <v/>
      </c>
      <c r="B64" s="29" t="n"/>
      <c r="C64" s="29" t="n"/>
      <c r="D64" s="29" t="n"/>
      <c r="E64" s="29" t="n"/>
      <c r="F64" s="33" t="n"/>
      <c r="G64" s="31" t="n"/>
      <c r="H64" s="17">
        <f>IF(OR(F64="",G64=""),"",F64*G64)</f>
        <v/>
      </c>
      <c r="I64" s="31" t="n"/>
      <c r="J64" s="13">
        <f>IF(OR(G64="",I64=""),"",G64*I64)</f>
        <v/>
      </c>
      <c r="K64" s="31" t="n"/>
      <c r="L64" s="13">
        <f>IF(J64="","",J64-IF(K64="",0,K64))</f>
        <v/>
      </c>
      <c r="M64" s="31" t="n"/>
      <c r="N64" s="13">
        <f>IF(L64="","",L64-IF(M64="",0,M64))</f>
        <v/>
      </c>
      <c r="O64" s="29" t="n"/>
      <c r="P64" s="21">
        <f>IF(B64="","",VALUE(LEFT(B64,4)))</f>
        <v/>
      </c>
      <c r="Q64" s="21">
        <f>IF(B64="","",VALUE(MID(B64,6,2)))</f>
        <v/>
      </c>
    </row>
    <row r="65" ht="20" customHeight="1">
      <c r="A65" s="21">
        <f>IF(B65="","",ROW()-3)</f>
        <v/>
      </c>
      <c r="B65" s="29" t="n"/>
      <c r="C65" s="29" t="n"/>
      <c r="D65" s="29" t="n"/>
      <c r="E65" s="29" t="n"/>
      <c r="F65" s="33" t="n"/>
      <c r="G65" s="31" t="n"/>
      <c r="H65" s="17">
        <f>IF(OR(F65="",G65=""),"",F65*G65)</f>
        <v/>
      </c>
      <c r="I65" s="31" t="n"/>
      <c r="J65" s="13">
        <f>IF(OR(G65="",I65=""),"",G65*I65)</f>
        <v/>
      </c>
      <c r="K65" s="31" t="n"/>
      <c r="L65" s="13">
        <f>IF(J65="","",J65-IF(K65="",0,K65))</f>
        <v/>
      </c>
      <c r="M65" s="31" t="n"/>
      <c r="N65" s="13">
        <f>IF(L65="","",L65-IF(M65="",0,M65))</f>
        <v/>
      </c>
      <c r="O65" s="29" t="n"/>
      <c r="P65" s="21">
        <f>IF(B65="","",VALUE(LEFT(B65,4)))</f>
        <v/>
      </c>
      <c r="Q65" s="21">
        <f>IF(B65="","",VALUE(MID(B65,6,2)))</f>
        <v/>
      </c>
    </row>
    <row r="66" ht="20" customHeight="1">
      <c r="A66" s="21">
        <f>IF(B66="","",ROW()-3)</f>
        <v/>
      </c>
      <c r="B66" s="29" t="n"/>
      <c r="C66" s="29" t="n"/>
      <c r="D66" s="29" t="n"/>
      <c r="E66" s="29" t="n"/>
      <c r="F66" s="33" t="n"/>
      <c r="G66" s="31" t="n"/>
      <c r="H66" s="17">
        <f>IF(OR(F66="",G66=""),"",F66*G66)</f>
        <v/>
      </c>
      <c r="I66" s="31" t="n"/>
      <c r="J66" s="13">
        <f>IF(OR(G66="",I66=""),"",G66*I66)</f>
        <v/>
      </c>
      <c r="K66" s="31" t="n"/>
      <c r="L66" s="13">
        <f>IF(J66="","",J66-IF(K66="",0,K66))</f>
        <v/>
      </c>
      <c r="M66" s="31" t="n"/>
      <c r="N66" s="13">
        <f>IF(L66="","",L66-IF(M66="",0,M66))</f>
        <v/>
      </c>
      <c r="O66" s="29" t="n"/>
      <c r="P66" s="21">
        <f>IF(B66="","",VALUE(LEFT(B66,4)))</f>
        <v/>
      </c>
      <c r="Q66" s="21">
        <f>IF(B66="","",VALUE(MID(B66,6,2)))</f>
        <v/>
      </c>
    </row>
    <row r="67" ht="20" customHeight="1">
      <c r="A67" s="21">
        <f>IF(B67="","",ROW()-3)</f>
        <v/>
      </c>
      <c r="B67" s="29" t="n"/>
      <c r="C67" s="29" t="n"/>
      <c r="D67" s="29" t="n"/>
      <c r="E67" s="29" t="n"/>
      <c r="F67" s="33" t="n"/>
      <c r="G67" s="31" t="n"/>
      <c r="H67" s="17">
        <f>IF(OR(F67="",G67=""),"",F67*G67)</f>
        <v/>
      </c>
      <c r="I67" s="31" t="n"/>
      <c r="J67" s="13">
        <f>IF(OR(G67="",I67=""),"",G67*I67)</f>
        <v/>
      </c>
      <c r="K67" s="31" t="n"/>
      <c r="L67" s="13">
        <f>IF(J67="","",J67-IF(K67="",0,K67))</f>
        <v/>
      </c>
      <c r="M67" s="31" t="n"/>
      <c r="N67" s="13">
        <f>IF(L67="","",L67-IF(M67="",0,M67))</f>
        <v/>
      </c>
      <c r="O67" s="29" t="n"/>
      <c r="P67" s="21">
        <f>IF(B67="","",VALUE(LEFT(B67,4)))</f>
        <v/>
      </c>
      <c r="Q67" s="21">
        <f>IF(B67="","",VALUE(MID(B67,6,2)))</f>
        <v/>
      </c>
    </row>
    <row r="68" ht="20" customHeight="1">
      <c r="A68" s="21">
        <f>IF(B68="","",ROW()-3)</f>
        <v/>
      </c>
      <c r="B68" s="29" t="n"/>
      <c r="C68" s="29" t="n"/>
      <c r="D68" s="29" t="n"/>
      <c r="E68" s="29" t="n"/>
      <c r="F68" s="33" t="n"/>
      <c r="G68" s="31" t="n"/>
      <c r="H68" s="17">
        <f>IF(OR(F68="",G68=""),"",F68*G68)</f>
        <v/>
      </c>
      <c r="I68" s="31" t="n"/>
      <c r="J68" s="13">
        <f>IF(OR(G68="",I68=""),"",G68*I68)</f>
        <v/>
      </c>
      <c r="K68" s="31" t="n"/>
      <c r="L68" s="13">
        <f>IF(J68="","",J68-IF(K68="",0,K68))</f>
        <v/>
      </c>
      <c r="M68" s="31" t="n"/>
      <c r="N68" s="13">
        <f>IF(L68="","",L68-IF(M68="",0,M68))</f>
        <v/>
      </c>
      <c r="O68" s="29" t="n"/>
      <c r="P68" s="21">
        <f>IF(B68="","",VALUE(LEFT(B68,4)))</f>
        <v/>
      </c>
      <c r="Q68" s="21">
        <f>IF(B68="","",VALUE(MID(B68,6,2)))</f>
        <v/>
      </c>
    </row>
    <row r="69" ht="20" customHeight="1">
      <c r="A69" s="21">
        <f>IF(B69="","",ROW()-3)</f>
        <v/>
      </c>
      <c r="B69" s="29" t="n"/>
      <c r="C69" s="29" t="n"/>
      <c r="D69" s="29" t="n"/>
      <c r="E69" s="29" t="n"/>
      <c r="F69" s="33" t="n"/>
      <c r="G69" s="31" t="n"/>
      <c r="H69" s="17">
        <f>IF(OR(F69="",G69=""),"",F69*G69)</f>
        <v/>
      </c>
      <c r="I69" s="31" t="n"/>
      <c r="J69" s="13">
        <f>IF(OR(G69="",I69=""),"",G69*I69)</f>
        <v/>
      </c>
      <c r="K69" s="31" t="n"/>
      <c r="L69" s="13">
        <f>IF(J69="","",J69-IF(K69="",0,K69))</f>
        <v/>
      </c>
      <c r="M69" s="31" t="n"/>
      <c r="N69" s="13">
        <f>IF(L69="","",L69-IF(M69="",0,M69))</f>
        <v/>
      </c>
      <c r="O69" s="29" t="n"/>
      <c r="P69" s="21">
        <f>IF(B69="","",VALUE(LEFT(B69,4)))</f>
        <v/>
      </c>
      <c r="Q69" s="21">
        <f>IF(B69="","",VALUE(MID(B69,6,2)))</f>
        <v/>
      </c>
    </row>
    <row r="70" ht="20" customHeight="1">
      <c r="A70" s="21">
        <f>IF(B70="","",ROW()-3)</f>
        <v/>
      </c>
      <c r="B70" s="29" t="n"/>
      <c r="C70" s="29" t="n"/>
      <c r="D70" s="29" t="n"/>
      <c r="E70" s="29" t="n"/>
      <c r="F70" s="33" t="n"/>
      <c r="G70" s="31" t="n"/>
      <c r="H70" s="17">
        <f>IF(OR(F70="",G70=""),"",F70*G70)</f>
        <v/>
      </c>
      <c r="I70" s="31" t="n"/>
      <c r="J70" s="13">
        <f>IF(OR(G70="",I70=""),"",G70*I70)</f>
        <v/>
      </c>
      <c r="K70" s="31" t="n"/>
      <c r="L70" s="13">
        <f>IF(J70="","",J70-IF(K70="",0,K70))</f>
        <v/>
      </c>
      <c r="M70" s="31" t="n"/>
      <c r="N70" s="13">
        <f>IF(L70="","",L70-IF(M70="",0,M70))</f>
        <v/>
      </c>
      <c r="O70" s="29" t="n"/>
      <c r="P70" s="21">
        <f>IF(B70="","",VALUE(LEFT(B70,4)))</f>
        <v/>
      </c>
      <c r="Q70" s="21">
        <f>IF(B70="","",VALUE(MID(B70,6,2)))</f>
        <v/>
      </c>
    </row>
    <row r="71" ht="20" customHeight="1">
      <c r="A71" s="21">
        <f>IF(B71="","",ROW()-3)</f>
        <v/>
      </c>
      <c r="B71" s="29" t="n"/>
      <c r="C71" s="29" t="n"/>
      <c r="D71" s="29" t="n"/>
      <c r="E71" s="29" t="n"/>
      <c r="F71" s="33" t="n"/>
      <c r="G71" s="31" t="n"/>
      <c r="H71" s="17">
        <f>IF(OR(F71="",G71=""),"",F71*G71)</f>
        <v/>
      </c>
      <c r="I71" s="31" t="n"/>
      <c r="J71" s="13">
        <f>IF(OR(G71="",I71=""),"",G71*I71)</f>
        <v/>
      </c>
      <c r="K71" s="31" t="n"/>
      <c r="L71" s="13">
        <f>IF(J71="","",J71-IF(K71="",0,K71))</f>
        <v/>
      </c>
      <c r="M71" s="31" t="n"/>
      <c r="N71" s="13">
        <f>IF(L71="","",L71-IF(M71="",0,M71))</f>
        <v/>
      </c>
      <c r="O71" s="29" t="n"/>
      <c r="P71" s="21">
        <f>IF(B71="","",VALUE(LEFT(B71,4)))</f>
        <v/>
      </c>
      <c r="Q71" s="21">
        <f>IF(B71="","",VALUE(MID(B71,6,2)))</f>
        <v/>
      </c>
    </row>
    <row r="72" ht="20" customHeight="1">
      <c r="A72" s="21">
        <f>IF(B72="","",ROW()-3)</f>
        <v/>
      </c>
      <c r="B72" s="29" t="n"/>
      <c r="C72" s="29" t="n"/>
      <c r="D72" s="29" t="n"/>
      <c r="E72" s="29" t="n"/>
      <c r="F72" s="33" t="n"/>
      <c r="G72" s="31" t="n"/>
      <c r="H72" s="17">
        <f>IF(OR(F72="",G72=""),"",F72*G72)</f>
        <v/>
      </c>
      <c r="I72" s="31" t="n"/>
      <c r="J72" s="13">
        <f>IF(OR(G72="",I72=""),"",G72*I72)</f>
        <v/>
      </c>
      <c r="K72" s="31" t="n"/>
      <c r="L72" s="13">
        <f>IF(J72="","",J72-IF(K72="",0,K72))</f>
        <v/>
      </c>
      <c r="M72" s="31" t="n"/>
      <c r="N72" s="13">
        <f>IF(L72="","",L72-IF(M72="",0,M72))</f>
        <v/>
      </c>
      <c r="O72" s="29" t="n"/>
      <c r="P72" s="21">
        <f>IF(B72="","",VALUE(LEFT(B72,4)))</f>
        <v/>
      </c>
      <c r="Q72" s="21">
        <f>IF(B72="","",VALUE(MID(B72,6,2)))</f>
        <v/>
      </c>
    </row>
    <row r="73" ht="20" customHeight="1">
      <c r="A73" s="21">
        <f>IF(B73="","",ROW()-3)</f>
        <v/>
      </c>
      <c r="B73" s="29" t="n"/>
      <c r="C73" s="29" t="n"/>
      <c r="D73" s="29" t="n"/>
      <c r="E73" s="29" t="n"/>
      <c r="F73" s="33" t="n"/>
      <c r="G73" s="31" t="n"/>
      <c r="H73" s="17">
        <f>IF(OR(F73="",G73=""),"",F73*G73)</f>
        <v/>
      </c>
      <c r="I73" s="31" t="n"/>
      <c r="J73" s="13">
        <f>IF(OR(G73="",I73=""),"",G73*I73)</f>
        <v/>
      </c>
      <c r="K73" s="31" t="n"/>
      <c r="L73" s="13">
        <f>IF(J73="","",J73-IF(K73="",0,K73))</f>
        <v/>
      </c>
      <c r="M73" s="31" t="n"/>
      <c r="N73" s="13">
        <f>IF(L73="","",L73-IF(M73="",0,M73))</f>
        <v/>
      </c>
      <c r="O73" s="29" t="n"/>
      <c r="P73" s="21">
        <f>IF(B73="","",VALUE(LEFT(B73,4)))</f>
        <v/>
      </c>
      <c r="Q73" s="21">
        <f>IF(B73="","",VALUE(MID(B73,6,2)))</f>
        <v/>
      </c>
    </row>
    <row r="74" ht="20" customHeight="1">
      <c r="A74" s="21">
        <f>IF(B74="","",ROW()-3)</f>
        <v/>
      </c>
      <c r="B74" s="29" t="n"/>
      <c r="C74" s="29" t="n"/>
      <c r="D74" s="29" t="n"/>
      <c r="E74" s="29" t="n"/>
      <c r="F74" s="33" t="n"/>
      <c r="G74" s="31" t="n"/>
      <c r="H74" s="17">
        <f>IF(OR(F74="",G74=""),"",F74*G74)</f>
        <v/>
      </c>
      <c r="I74" s="31" t="n"/>
      <c r="J74" s="13">
        <f>IF(OR(G74="",I74=""),"",G74*I74)</f>
        <v/>
      </c>
      <c r="K74" s="31" t="n"/>
      <c r="L74" s="13">
        <f>IF(J74="","",J74-IF(K74="",0,K74))</f>
        <v/>
      </c>
      <c r="M74" s="31" t="n"/>
      <c r="N74" s="13">
        <f>IF(L74="","",L74-IF(M74="",0,M74))</f>
        <v/>
      </c>
      <c r="O74" s="29" t="n"/>
      <c r="P74" s="21">
        <f>IF(B74="","",VALUE(LEFT(B74,4)))</f>
        <v/>
      </c>
      <c r="Q74" s="21">
        <f>IF(B74="","",VALUE(MID(B74,6,2)))</f>
        <v/>
      </c>
    </row>
    <row r="75" ht="20" customHeight="1">
      <c r="A75" s="21">
        <f>IF(B75="","",ROW()-3)</f>
        <v/>
      </c>
      <c r="B75" s="29" t="n"/>
      <c r="C75" s="29" t="n"/>
      <c r="D75" s="29" t="n"/>
      <c r="E75" s="29" t="n"/>
      <c r="F75" s="33" t="n"/>
      <c r="G75" s="31" t="n"/>
      <c r="H75" s="17">
        <f>IF(OR(F75="",G75=""),"",F75*G75)</f>
        <v/>
      </c>
      <c r="I75" s="31" t="n"/>
      <c r="J75" s="13">
        <f>IF(OR(G75="",I75=""),"",G75*I75)</f>
        <v/>
      </c>
      <c r="K75" s="31" t="n"/>
      <c r="L75" s="13">
        <f>IF(J75="","",J75-IF(K75="",0,K75))</f>
        <v/>
      </c>
      <c r="M75" s="31" t="n"/>
      <c r="N75" s="13">
        <f>IF(L75="","",L75-IF(M75="",0,M75))</f>
        <v/>
      </c>
      <c r="O75" s="29" t="n"/>
      <c r="P75" s="21">
        <f>IF(B75="","",VALUE(LEFT(B75,4)))</f>
        <v/>
      </c>
      <c r="Q75" s="21">
        <f>IF(B75="","",VALUE(MID(B75,6,2)))</f>
        <v/>
      </c>
    </row>
    <row r="76" ht="20" customHeight="1">
      <c r="A76" s="21">
        <f>IF(B76="","",ROW()-3)</f>
        <v/>
      </c>
      <c r="B76" s="29" t="n"/>
      <c r="C76" s="29" t="n"/>
      <c r="D76" s="29" t="n"/>
      <c r="E76" s="29" t="n"/>
      <c r="F76" s="33" t="n"/>
      <c r="G76" s="31" t="n"/>
      <c r="H76" s="17">
        <f>IF(OR(F76="",G76=""),"",F76*G76)</f>
        <v/>
      </c>
      <c r="I76" s="31" t="n"/>
      <c r="J76" s="13">
        <f>IF(OR(G76="",I76=""),"",G76*I76)</f>
        <v/>
      </c>
      <c r="K76" s="31" t="n"/>
      <c r="L76" s="13">
        <f>IF(J76="","",J76-IF(K76="",0,K76))</f>
        <v/>
      </c>
      <c r="M76" s="31" t="n"/>
      <c r="N76" s="13">
        <f>IF(L76="","",L76-IF(M76="",0,M76))</f>
        <v/>
      </c>
      <c r="O76" s="29" t="n"/>
      <c r="P76" s="21">
        <f>IF(B76="","",VALUE(LEFT(B76,4)))</f>
        <v/>
      </c>
      <c r="Q76" s="21">
        <f>IF(B76="","",VALUE(MID(B76,6,2)))</f>
        <v/>
      </c>
    </row>
    <row r="77" ht="20" customHeight="1">
      <c r="A77" s="21">
        <f>IF(B77="","",ROW()-3)</f>
        <v/>
      </c>
      <c r="B77" s="29" t="n"/>
      <c r="C77" s="29" t="n"/>
      <c r="D77" s="29" t="n"/>
      <c r="E77" s="29" t="n"/>
      <c r="F77" s="33" t="n"/>
      <c r="G77" s="31" t="n"/>
      <c r="H77" s="17">
        <f>IF(OR(F77="",G77=""),"",F77*G77)</f>
        <v/>
      </c>
      <c r="I77" s="31" t="n"/>
      <c r="J77" s="13">
        <f>IF(OR(G77="",I77=""),"",G77*I77)</f>
        <v/>
      </c>
      <c r="K77" s="31" t="n"/>
      <c r="L77" s="13">
        <f>IF(J77="","",J77-IF(K77="",0,K77))</f>
        <v/>
      </c>
      <c r="M77" s="31" t="n"/>
      <c r="N77" s="13">
        <f>IF(L77="","",L77-IF(M77="",0,M77))</f>
        <v/>
      </c>
      <c r="O77" s="29" t="n"/>
      <c r="P77" s="21">
        <f>IF(B77="","",VALUE(LEFT(B77,4)))</f>
        <v/>
      </c>
      <c r="Q77" s="21">
        <f>IF(B77="","",VALUE(MID(B77,6,2)))</f>
        <v/>
      </c>
    </row>
    <row r="78" ht="20" customHeight="1">
      <c r="A78" s="21">
        <f>IF(B78="","",ROW()-3)</f>
        <v/>
      </c>
      <c r="B78" s="29" t="n"/>
      <c r="C78" s="29" t="n"/>
      <c r="D78" s="29" t="n"/>
      <c r="E78" s="29" t="n"/>
      <c r="F78" s="33" t="n"/>
      <c r="G78" s="31" t="n"/>
      <c r="H78" s="17">
        <f>IF(OR(F78="",G78=""),"",F78*G78)</f>
        <v/>
      </c>
      <c r="I78" s="31" t="n"/>
      <c r="J78" s="13">
        <f>IF(OR(G78="",I78=""),"",G78*I78)</f>
        <v/>
      </c>
      <c r="K78" s="31" t="n"/>
      <c r="L78" s="13">
        <f>IF(J78="","",J78-IF(K78="",0,K78))</f>
        <v/>
      </c>
      <c r="M78" s="31" t="n"/>
      <c r="N78" s="13">
        <f>IF(L78="","",L78-IF(M78="",0,M78))</f>
        <v/>
      </c>
      <c r="O78" s="29" t="n"/>
      <c r="P78" s="21">
        <f>IF(B78="","",VALUE(LEFT(B78,4)))</f>
        <v/>
      </c>
      <c r="Q78" s="21">
        <f>IF(B78="","",VALUE(MID(B78,6,2)))</f>
        <v/>
      </c>
    </row>
    <row r="79" ht="20" customHeight="1">
      <c r="A79" s="21">
        <f>IF(B79="","",ROW()-3)</f>
        <v/>
      </c>
      <c r="B79" s="29" t="n"/>
      <c r="C79" s="29" t="n"/>
      <c r="D79" s="29" t="n"/>
      <c r="E79" s="29" t="n"/>
      <c r="F79" s="33" t="n"/>
      <c r="G79" s="31" t="n"/>
      <c r="H79" s="17">
        <f>IF(OR(F79="",G79=""),"",F79*G79)</f>
        <v/>
      </c>
      <c r="I79" s="31" t="n"/>
      <c r="J79" s="13">
        <f>IF(OR(G79="",I79=""),"",G79*I79)</f>
        <v/>
      </c>
      <c r="K79" s="31" t="n"/>
      <c r="L79" s="13">
        <f>IF(J79="","",J79-IF(K79="",0,K79))</f>
        <v/>
      </c>
      <c r="M79" s="31" t="n"/>
      <c r="N79" s="13">
        <f>IF(L79="","",L79-IF(M79="",0,M79))</f>
        <v/>
      </c>
      <c r="O79" s="29" t="n"/>
      <c r="P79" s="21">
        <f>IF(B79="","",VALUE(LEFT(B79,4)))</f>
        <v/>
      </c>
      <c r="Q79" s="21">
        <f>IF(B79="","",VALUE(MID(B79,6,2)))</f>
        <v/>
      </c>
    </row>
    <row r="80" ht="20" customHeight="1">
      <c r="A80" s="21">
        <f>IF(B80="","",ROW()-3)</f>
        <v/>
      </c>
      <c r="B80" s="29" t="n"/>
      <c r="C80" s="29" t="n"/>
      <c r="D80" s="29" t="n"/>
      <c r="E80" s="29" t="n"/>
      <c r="F80" s="33" t="n"/>
      <c r="G80" s="31" t="n"/>
      <c r="H80" s="17">
        <f>IF(OR(F80="",G80=""),"",F80*G80)</f>
        <v/>
      </c>
      <c r="I80" s="31" t="n"/>
      <c r="J80" s="13">
        <f>IF(OR(G80="",I80=""),"",G80*I80)</f>
        <v/>
      </c>
      <c r="K80" s="31" t="n"/>
      <c r="L80" s="13">
        <f>IF(J80="","",J80-IF(K80="",0,K80))</f>
        <v/>
      </c>
      <c r="M80" s="31" t="n"/>
      <c r="N80" s="13">
        <f>IF(L80="","",L80-IF(M80="",0,M80))</f>
        <v/>
      </c>
      <c r="O80" s="29" t="n"/>
      <c r="P80" s="21">
        <f>IF(B80="","",VALUE(LEFT(B80,4)))</f>
        <v/>
      </c>
      <c r="Q80" s="21">
        <f>IF(B80="","",VALUE(MID(B80,6,2)))</f>
        <v/>
      </c>
    </row>
    <row r="81" ht="20" customHeight="1">
      <c r="A81" s="21">
        <f>IF(B81="","",ROW()-3)</f>
        <v/>
      </c>
      <c r="B81" s="29" t="n"/>
      <c r="C81" s="29" t="n"/>
      <c r="D81" s="29" t="n"/>
      <c r="E81" s="29" t="n"/>
      <c r="F81" s="33" t="n"/>
      <c r="G81" s="31" t="n"/>
      <c r="H81" s="17">
        <f>IF(OR(F81="",G81=""),"",F81*G81)</f>
        <v/>
      </c>
      <c r="I81" s="31" t="n"/>
      <c r="J81" s="13">
        <f>IF(OR(G81="",I81=""),"",G81*I81)</f>
        <v/>
      </c>
      <c r="K81" s="31" t="n"/>
      <c r="L81" s="13">
        <f>IF(J81="","",J81-IF(K81="",0,K81))</f>
        <v/>
      </c>
      <c r="M81" s="31" t="n"/>
      <c r="N81" s="13">
        <f>IF(L81="","",L81-IF(M81="",0,M81))</f>
        <v/>
      </c>
      <c r="O81" s="29" t="n"/>
      <c r="P81" s="21">
        <f>IF(B81="","",VALUE(LEFT(B81,4)))</f>
        <v/>
      </c>
      <c r="Q81" s="21">
        <f>IF(B81="","",VALUE(MID(B81,6,2)))</f>
        <v/>
      </c>
    </row>
    <row r="82" ht="20" customHeight="1">
      <c r="A82" s="21">
        <f>IF(B82="","",ROW()-3)</f>
        <v/>
      </c>
      <c r="B82" s="29" t="n"/>
      <c r="C82" s="29" t="n"/>
      <c r="D82" s="29" t="n"/>
      <c r="E82" s="29" t="n"/>
      <c r="F82" s="33" t="n"/>
      <c r="G82" s="31" t="n"/>
      <c r="H82" s="17">
        <f>IF(OR(F82="",G82=""),"",F82*G82)</f>
        <v/>
      </c>
      <c r="I82" s="31" t="n"/>
      <c r="J82" s="13">
        <f>IF(OR(G82="",I82=""),"",G82*I82)</f>
        <v/>
      </c>
      <c r="K82" s="31" t="n"/>
      <c r="L82" s="13">
        <f>IF(J82="","",J82-IF(K82="",0,K82))</f>
        <v/>
      </c>
      <c r="M82" s="31" t="n"/>
      <c r="N82" s="13">
        <f>IF(L82="","",L82-IF(M82="",0,M82))</f>
        <v/>
      </c>
      <c r="O82" s="29" t="n"/>
      <c r="P82" s="21">
        <f>IF(B82="","",VALUE(LEFT(B82,4)))</f>
        <v/>
      </c>
      <c r="Q82" s="21">
        <f>IF(B82="","",VALUE(MID(B82,6,2)))</f>
        <v/>
      </c>
    </row>
    <row r="83" ht="20" customHeight="1">
      <c r="A83" s="21">
        <f>IF(B83="","",ROW()-3)</f>
        <v/>
      </c>
      <c r="B83" s="29" t="n"/>
      <c r="C83" s="29" t="n"/>
      <c r="D83" s="29" t="n"/>
      <c r="E83" s="29" t="n"/>
      <c r="F83" s="33" t="n"/>
      <c r="G83" s="31" t="n"/>
      <c r="H83" s="17">
        <f>IF(OR(F83="",G83=""),"",F83*G83)</f>
        <v/>
      </c>
      <c r="I83" s="31" t="n"/>
      <c r="J83" s="13">
        <f>IF(OR(G83="",I83=""),"",G83*I83)</f>
        <v/>
      </c>
      <c r="K83" s="31" t="n"/>
      <c r="L83" s="13">
        <f>IF(J83="","",J83-IF(K83="",0,K83))</f>
        <v/>
      </c>
      <c r="M83" s="31" t="n"/>
      <c r="N83" s="13">
        <f>IF(L83="","",L83-IF(M83="",0,M83))</f>
        <v/>
      </c>
      <c r="O83" s="29" t="n"/>
      <c r="P83" s="21">
        <f>IF(B83="","",VALUE(LEFT(B83,4)))</f>
        <v/>
      </c>
      <c r="Q83" s="21">
        <f>IF(B83="","",VALUE(MID(B83,6,2)))</f>
        <v/>
      </c>
    </row>
    <row r="84" ht="20" customHeight="1">
      <c r="A84" s="21">
        <f>IF(B84="","",ROW()-3)</f>
        <v/>
      </c>
      <c r="B84" s="29" t="n"/>
      <c r="C84" s="29" t="n"/>
      <c r="D84" s="29" t="n"/>
      <c r="E84" s="29" t="n"/>
      <c r="F84" s="33" t="n"/>
      <c r="G84" s="31" t="n"/>
      <c r="H84" s="17">
        <f>IF(OR(F84="",G84=""),"",F84*G84)</f>
        <v/>
      </c>
      <c r="I84" s="31" t="n"/>
      <c r="J84" s="13">
        <f>IF(OR(G84="",I84=""),"",G84*I84)</f>
        <v/>
      </c>
      <c r="K84" s="31" t="n"/>
      <c r="L84" s="13">
        <f>IF(J84="","",J84-IF(K84="",0,K84))</f>
        <v/>
      </c>
      <c r="M84" s="31" t="n"/>
      <c r="N84" s="13">
        <f>IF(L84="","",L84-IF(M84="",0,M84))</f>
        <v/>
      </c>
      <c r="O84" s="29" t="n"/>
      <c r="P84" s="21">
        <f>IF(B84="","",VALUE(LEFT(B84,4)))</f>
        <v/>
      </c>
      <c r="Q84" s="21">
        <f>IF(B84="","",VALUE(MID(B84,6,2)))</f>
        <v/>
      </c>
    </row>
    <row r="85" ht="20" customHeight="1">
      <c r="A85" s="21">
        <f>IF(B85="","",ROW()-3)</f>
        <v/>
      </c>
      <c r="B85" s="29" t="n"/>
      <c r="C85" s="29" t="n"/>
      <c r="D85" s="29" t="n"/>
      <c r="E85" s="29" t="n"/>
      <c r="F85" s="33" t="n"/>
      <c r="G85" s="31" t="n"/>
      <c r="H85" s="17">
        <f>IF(OR(F85="",G85=""),"",F85*G85)</f>
        <v/>
      </c>
      <c r="I85" s="31" t="n"/>
      <c r="J85" s="13">
        <f>IF(OR(G85="",I85=""),"",G85*I85)</f>
        <v/>
      </c>
      <c r="K85" s="31" t="n"/>
      <c r="L85" s="13">
        <f>IF(J85="","",J85-IF(K85="",0,K85))</f>
        <v/>
      </c>
      <c r="M85" s="31" t="n"/>
      <c r="N85" s="13">
        <f>IF(L85="","",L85-IF(M85="",0,M85))</f>
        <v/>
      </c>
      <c r="O85" s="29" t="n"/>
      <c r="P85" s="21">
        <f>IF(B85="","",VALUE(LEFT(B85,4)))</f>
        <v/>
      </c>
      <c r="Q85" s="21">
        <f>IF(B85="","",VALUE(MID(B85,6,2)))</f>
        <v/>
      </c>
    </row>
    <row r="86" ht="20" customHeight="1">
      <c r="A86" s="21">
        <f>IF(B86="","",ROW()-3)</f>
        <v/>
      </c>
      <c r="B86" s="29" t="n"/>
      <c r="C86" s="29" t="n"/>
      <c r="D86" s="29" t="n"/>
      <c r="E86" s="29" t="n"/>
      <c r="F86" s="33" t="n"/>
      <c r="G86" s="31" t="n"/>
      <c r="H86" s="17">
        <f>IF(OR(F86="",G86=""),"",F86*G86)</f>
        <v/>
      </c>
      <c r="I86" s="31" t="n"/>
      <c r="J86" s="13">
        <f>IF(OR(G86="",I86=""),"",G86*I86)</f>
        <v/>
      </c>
      <c r="K86" s="31" t="n"/>
      <c r="L86" s="13">
        <f>IF(J86="","",J86-IF(K86="",0,K86))</f>
        <v/>
      </c>
      <c r="M86" s="31" t="n"/>
      <c r="N86" s="13">
        <f>IF(L86="","",L86-IF(M86="",0,M86))</f>
        <v/>
      </c>
      <c r="O86" s="29" t="n"/>
      <c r="P86" s="21">
        <f>IF(B86="","",VALUE(LEFT(B86,4)))</f>
        <v/>
      </c>
      <c r="Q86" s="21">
        <f>IF(B86="","",VALUE(MID(B86,6,2)))</f>
        <v/>
      </c>
    </row>
    <row r="87" ht="20" customHeight="1">
      <c r="A87" s="21">
        <f>IF(B87="","",ROW()-3)</f>
        <v/>
      </c>
      <c r="B87" s="29" t="n"/>
      <c r="C87" s="29" t="n"/>
      <c r="D87" s="29" t="n"/>
      <c r="E87" s="29" t="n"/>
      <c r="F87" s="33" t="n"/>
      <c r="G87" s="31" t="n"/>
      <c r="H87" s="17">
        <f>IF(OR(F87="",G87=""),"",F87*G87)</f>
        <v/>
      </c>
      <c r="I87" s="31" t="n"/>
      <c r="J87" s="13">
        <f>IF(OR(G87="",I87=""),"",G87*I87)</f>
        <v/>
      </c>
      <c r="K87" s="31" t="n"/>
      <c r="L87" s="13">
        <f>IF(J87="","",J87-IF(K87="",0,K87))</f>
        <v/>
      </c>
      <c r="M87" s="31" t="n"/>
      <c r="N87" s="13">
        <f>IF(L87="","",L87-IF(M87="",0,M87))</f>
        <v/>
      </c>
      <c r="O87" s="29" t="n"/>
      <c r="P87" s="21">
        <f>IF(B87="","",VALUE(LEFT(B87,4)))</f>
        <v/>
      </c>
      <c r="Q87" s="21">
        <f>IF(B87="","",VALUE(MID(B87,6,2)))</f>
        <v/>
      </c>
    </row>
    <row r="88" ht="20" customHeight="1">
      <c r="A88" s="21">
        <f>IF(B88="","",ROW()-3)</f>
        <v/>
      </c>
      <c r="B88" s="29" t="n"/>
      <c r="C88" s="29" t="n"/>
      <c r="D88" s="29" t="n"/>
      <c r="E88" s="29" t="n"/>
      <c r="F88" s="33" t="n"/>
      <c r="G88" s="31" t="n"/>
      <c r="H88" s="17">
        <f>IF(OR(F88="",G88=""),"",F88*G88)</f>
        <v/>
      </c>
      <c r="I88" s="31" t="n"/>
      <c r="J88" s="13">
        <f>IF(OR(G88="",I88=""),"",G88*I88)</f>
        <v/>
      </c>
      <c r="K88" s="31" t="n"/>
      <c r="L88" s="13">
        <f>IF(J88="","",J88-IF(K88="",0,K88))</f>
        <v/>
      </c>
      <c r="M88" s="31" t="n"/>
      <c r="N88" s="13">
        <f>IF(L88="","",L88-IF(M88="",0,M88))</f>
        <v/>
      </c>
      <c r="O88" s="29" t="n"/>
      <c r="P88" s="21">
        <f>IF(B88="","",VALUE(LEFT(B88,4)))</f>
        <v/>
      </c>
      <c r="Q88" s="21">
        <f>IF(B88="","",VALUE(MID(B88,6,2)))</f>
        <v/>
      </c>
    </row>
    <row r="89" ht="20" customHeight="1">
      <c r="A89" s="21">
        <f>IF(B89="","",ROW()-3)</f>
        <v/>
      </c>
      <c r="B89" s="29" t="n"/>
      <c r="C89" s="29" t="n"/>
      <c r="D89" s="29" t="n"/>
      <c r="E89" s="29" t="n"/>
      <c r="F89" s="33" t="n"/>
      <c r="G89" s="31" t="n"/>
      <c r="H89" s="17">
        <f>IF(OR(F89="",G89=""),"",F89*G89)</f>
        <v/>
      </c>
      <c r="I89" s="31" t="n"/>
      <c r="J89" s="13">
        <f>IF(OR(G89="",I89=""),"",G89*I89)</f>
        <v/>
      </c>
      <c r="K89" s="31" t="n"/>
      <c r="L89" s="13">
        <f>IF(J89="","",J89-IF(K89="",0,K89))</f>
        <v/>
      </c>
      <c r="M89" s="31" t="n"/>
      <c r="N89" s="13">
        <f>IF(L89="","",L89-IF(M89="",0,M89))</f>
        <v/>
      </c>
      <c r="O89" s="29" t="n"/>
      <c r="P89" s="21">
        <f>IF(B89="","",VALUE(LEFT(B89,4)))</f>
        <v/>
      </c>
      <c r="Q89" s="21">
        <f>IF(B89="","",VALUE(MID(B89,6,2)))</f>
        <v/>
      </c>
    </row>
    <row r="90" ht="20" customHeight="1">
      <c r="A90" s="21">
        <f>IF(B90="","",ROW()-3)</f>
        <v/>
      </c>
      <c r="B90" s="29" t="n"/>
      <c r="C90" s="29" t="n"/>
      <c r="D90" s="29" t="n"/>
      <c r="E90" s="29" t="n"/>
      <c r="F90" s="33" t="n"/>
      <c r="G90" s="31" t="n"/>
      <c r="H90" s="17">
        <f>IF(OR(F90="",G90=""),"",F90*G90)</f>
        <v/>
      </c>
      <c r="I90" s="31" t="n"/>
      <c r="J90" s="13">
        <f>IF(OR(G90="",I90=""),"",G90*I90)</f>
        <v/>
      </c>
      <c r="K90" s="31" t="n"/>
      <c r="L90" s="13">
        <f>IF(J90="","",J90-IF(K90="",0,K90))</f>
        <v/>
      </c>
      <c r="M90" s="31" t="n"/>
      <c r="N90" s="13">
        <f>IF(L90="","",L90-IF(M90="",0,M90))</f>
        <v/>
      </c>
      <c r="O90" s="29" t="n"/>
      <c r="P90" s="21">
        <f>IF(B90="","",VALUE(LEFT(B90,4)))</f>
        <v/>
      </c>
      <c r="Q90" s="21">
        <f>IF(B90="","",VALUE(MID(B90,6,2)))</f>
        <v/>
      </c>
    </row>
    <row r="91" ht="20" customHeight="1">
      <c r="A91" s="21">
        <f>IF(B91="","",ROW()-3)</f>
        <v/>
      </c>
      <c r="B91" s="29" t="n"/>
      <c r="C91" s="29" t="n"/>
      <c r="D91" s="29" t="n"/>
      <c r="E91" s="29" t="n"/>
      <c r="F91" s="33" t="n"/>
      <c r="G91" s="31" t="n"/>
      <c r="H91" s="17">
        <f>IF(OR(F91="",G91=""),"",F91*G91)</f>
        <v/>
      </c>
      <c r="I91" s="31" t="n"/>
      <c r="J91" s="13">
        <f>IF(OR(G91="",I91=""),"",G91*I91)</f>
        <v/>
      </c>
      <c r="K91" s="31" t="n"/>
      <c r="L91" s="13">
        <f>IF(J91="","",J91-IF(K91="",0,K91))</f>
        <v/>
      </c>
      <c r="M91" s="31" t="n"/>
      <c r="N91" s="13">
        <f>IF(L91="","",L91-IF(M91="",0,M91))</f>
        <v/>
      </c>
      <c r="O91" s="29" t="n"/>
      <c r="P91" s="21">
        <f>IF(B91="","",VALUE(LEFT(B91,4)))</f>
        <v/>
      </c>
      <c r="Q91" s="21">
        <f>IF(B91="","",VALUE(MID(B91,6,2)))</f>
        <v/>
      </c>
    </row>
    <row r="92" ht="20" customHeight="1">
      <c r="A92" s="21">
        <f>IF(B92="","",ROW()-3)</f>
        <v/>
      </c>
      <c r="B92" s="29" t="n"/>
      <c r="C92" s="29" t="n"/>
      <c r="D92" s="29" t="n"/>
      <c r="E92" s="29" t="n"/>
      <c r="F92" s="33" t="n"/>
      <c r="G92" s="31" t="n"/>
      <c r="H92" s="17">
        <f>IF(OR(F92="",G92=""),"",F92*G92)</f>
        <v/>
      </c>
      <c r="I92" s="31" t="n"/>
      <c r="J92" s="13">
        <f>IF(OR(G92="",I92=""),"",G92*I92)</f>
        <v/>
      </c>
      <c r="K92" s="31" t="n"/>
      <c r="L92" s="13">
        <f>IF(J92="","",J92-IF(K92="",0,K92))</f>
        <v/>
      </c>
      <c r="M92" s="31" t="n"/>
      <c r="N92" s="13">
        <f>IF(L92="","",L92-IF(M92="",0,M92))</f>
        <v/>
      </c>
      <c r="O92" s="29" t="n"/>
      <c r="P92" s="21">
        <f>IF(B92="","",VALUE(LEFT(B92,4)))</f>
        <v/>
      </c>
      <c r="Q92" s="21">
        <f>IF(B92="","",VALUE(MID(B92,6,2)))</f>
        <v/>
      </c>
    </row>
    <row r="93" ht="20" customHeight="1">
      <c r="A93" s="21">
        <f>IF(B93="","",ROW()-3)</f>
        <v/>
      </c>
      <c r="B93" s="29" t="n"/>
      <c r="C93" s="29" t="n"/>
      <c r="D93" s="29" t="n"/>
      <c r="E93" s="29" t="n"/>
      <c r="F93" s="33" t="n"/>
      <c r="G93" s="31" t="n"/>
      <c r="H93" s="17">
        <f>IF(OR(F93="",G93=""),"",F93*G93)</f>
        <v/>
      </c>
      <c r="I93" s="31" t="n"/>
      <c r="J93" s="13">
        <f>IF(OR(G93="",I93=""),"",G93*I93)</f>
        <v/>
      </c>
      <c r="K93" s="31" t="n"/>
      <c r="L93" s="13">
        <f>IF(J93="","",J93-IF(K93="",0,K93))</f>
        <v/>
      </c>
      <c r="M93" s="31" t="n"/>
      <c r="N93" s="13">
        <f>IF(L93="","",L93-IF(M93="",0,M93))</f>
        <v/>
      </c>
      <c r="O93" s="29" t="n"/>
      <c r="P93" s="21">
        <f>IF(B93="","",VALUE(LEFT(B93,4)))</f>
        <v/>
      </c>
      <c r="Q93" s="21">
        <f>IF(B93="","",VALUE(MID(B93,6,2)))</f>
        <v/>
      </c>
    </row>
    <row r="94" ht="20" customHeight="1">
      <c r="A94" s="21">
        <f>IF(B94="","",ROW()-3)</f>
        <v/>
      </c>
      <c r="B94" s="29" t="n"/>
      <c r="C94" s="29" t="n"/>
      <c r="D94" s="29" t="n"/>
      <c r="E94" s="29" t="n"/>
      <c r="F94" s="33" t="n"/>
      <c r="G94" s="31" t="n"/>
      <c r="H94" s="17">
        <f>IF(OR(F94="",G94=""),"",F94*G94)</f>
        <v/>
      </c>
      <c r="I94" s="31" t="n"/>
      <c r="J94" s="13">
        <f>IF(OR(G94="",I94=""),"",G94*I94)</f>
        <v/>
      </c>
      <c r="K94" s="31" t="n"/>
      <c r="L94" s="13">
        <f>IF(J94="","",J94-IF(K94="",0,K94))</f>
        <v/>
      </c>
      <c r="M94" s="31" t="n"/>
      <c r="N94" s="13">
        <f>IF(L94="","",L94-IF(M94="",0,M94))</f>
        <v/>
      </c>
      <c r="O94" s="29" t="n"/>
      <c r="P94" s="21">
        <f>IF(B94="","",VALUE(LEFT(B94,4)))</f>
        <v/>
      </c>
      <c r="Q94" s="21">
        <f>IF(B94="","",VALUE(MID(B94,6,2)))</f>
        <v/>
      </c>
    </row>
    <row r="95" ht="20" customHeight="1">
      <c r="A95" s="21">
        <f>IF(B95="","",ROW()-3)</f>
        <v/>
      </c>
      <c r="B95" s="29" t="n"/>
      <c r="C95" s="29" t="n"/>
      <c r="D95" s="29" t="n"/>
      <c r="E95" s="29" t="n"/>
      <c r="F95" s="33" t="n"/>
      <c r="G95" s="31" t="n"/>
      <c r="H95" s="17">
        <f>IF(OR(F95="",G95=""),"",F95*G95)</f>
        <v/>
      </c>
      <c r="I95" s="31" t="n"/>
      <c r="J95" s="13">
        <f>IF(OR(G95="",I95=""),"",G95*I95)</f>
        <v/>
      </c>
      <c r="K95" s="31" t="n"/>
      <c r="L95" s="13">
        <f>IF(J95="","",J95-IF(K95="",0,K95))</f>
        <v/>
      </c>
      <c r="M95" s="31" t="n"/>
      <c r="N95" s="13">
        <f>IF(L95="","",L95-IF(M95="",0,M95))</f>
        <v/>
      </c>
      <c r="O95" s="29" t="n"/>
      <c r="P95" s="21">
        <f>IF(B95="","",VALUE(LEFT(B95,4)))</f>
        <v/>
      </c>
      <c r="Q95" s="21">
        <f>IF(B95="","",VALUE(MID(B95,6,2)))</f>
        <v/>
      </c>
    </row>
    <row r="96" ht="20" customHeight="1">
      <c r="A96" s="21">
        <f>IF(B96="","",ROW()-3)</f>
        <v/>
      </c>
      <c r="B96" s="29" t="n"/>
      <c r="C96" s="29" t="n"/>
      <c r="D96" s="29" t="n"/>
      <c r="E96" s="29" t="n"/>
      <c r="F96" s="33" t="n"/>
      <c r="G96" s="31" t="n"/>
      <c r="H96" s="17">
        <f>IF(OR(F96="",G96=""),"",F96*G96)</f>
        <v/>
      </c>
      <c r="I96" s="31" t="n"/>
      <c r="J96" s="13">
        <f>IF(OR(G96="",I96=""),"",G96*I96)</f>
        <v/>
      </c>
      <c r="K96" s="31" t="n"/>
      <c r="L96" s="13">
        <f>IF(J96="","",J96-IF(K96="",0,K96))</f>
        <v/>
      </c>
      <c r="M96" s="31" t="n"/>
      <c r="N96" s="13">
        <f>IF(L96="","",L96-IF(M96="",0,M96))</f>
        <v/>
      </c>
      <c r="O96" s="29" t="n"/>
      <c r="P96" s="21">
        <f>IF(B96="","",VALUE(LEFT(B96,4)))</f>
        <v/>
      </c>
      <c r="Q96" s="21">
        <f>IF(B96="","",VALUE(MID(B96,6,2)))</f>
        <v/>
      </c>
    </row>
    <row r="97" ht="20" customHeight="1">
      <c r="A97" s="21">
        <f>IF(B97="","",ROW()-3)</f>
        <v/>
      </c>
      <c r="B97" s="29" t="n"/>
      <c r="C97" s="29" t="n"/>
      <c r="D97" s="29" t="n"/>
      <c r="E97" s="29" t="n"/>
      <c r="F97" s="33" t="n"/>
      <c r="G97" s="31" t="n"/>
      <c r="H97" s="17">
        <f>IF(OR(F97="",G97=""),"",F97*G97)</f>
        <v/>
      </c>
      <c r="I97" s="31" t="n"/>
      <c r="J97" s="13">
        <f>IF(OR(G97="",I97=""),"",G97*I97)</f>
        <v/>
      </c>
      <c r="K97" s="31" t="n"/>
      <c r="L97" s="13">
        <f>IF(J97="","",J97-IF(K97="",0,K97))</f>
        <v/>
      </c>
      <c r="M97" s="31" t="n"/>
      <c r="N97" s="13">
        <f>IF(L97="","",L97-IF(M97="",0,M97))</f>
        <v/>
      </c>
      <c r="O97" s="29" t="n"/>
      <c r="P97" s="21">
        <f>IF(B97="","",VALUE(LEFT(B97,4)))</f>
        <v/>
      </c>
      <c r="Q97" s="21">
        <f>IF(B97="","",VALUE(MID(B97,6,2)))</f>
        <v/>
      </c>
    </row>
    <row r="98" ht="20" customHeight="1">
      <c r="A98" s="21">
        <f>IF(B98="","",ROW()-3)</f>
        <v/>
      </c>
      <c r="B98" s="29" t="n"/>
      <c r="C98" s="29" t="n"/>
      <c r="D98" s="29" t="n"/>
      <c r="E98" s="29" t="n"/>
      <c r="F98" s="33" t="n"/>
      <c r="G98" s="31" t="n"/>
      <c r="H98" s="17">
        <f>IF(OR(F98="",G98=""),"",F98*G98)</f>
        <v/>
      </c>
      <c r="I98" s="31" t="n"/>
      <c r="J98" s="13">
        <f>IF(OR(G98="",I98=""),"",G98*I98)</f>
        <v/>
      </c>
      <c r="K98" s="31" t="n"/>
      <c r="L98" s="13">
        <f>IF(J98="","",J98-IF(K98="",0,K98))</f>
        <v/>
      </c>
      <c r="M98" s="31" t="n"/>
      <c r="N98" s="13">
        <f>IF(L98="","",L98-IF(M98="",0,M98))</f>
        <v/>
      </c>
      <c r="O98" s="29" t="n"/>
      <c r="P98" s="21">
        <f>IF(B98="","",VALUE(LEFT(B98,4)))</f>
        <v/>
      </c>
      <c r="Q98" s="21">
        <f>IF(B98="","",VALUE(MID(B98,6,2)))</f>
        <v/>
      </c>
    </row>
    <row r="99" ht="20" customHeight="1">
      <c r="A99" s="21">
        <f>IF(B99="","",ROW()-3)</f>
        <v/>
      </c>
      <c r="B99" s="29" t="n"/>
      <c r="C99" s="29" t="n"/>
      <c r="D99" s="29" t="n"/>
      <c r="E99" s="29" t="n"/>
      <c r="F99" s="33" t="n"/>
      <c r="G99" s="31" t="n"/>
      <c r="H99" s="17">
        <f>IF(OR(F99="",G99=""),"",F99*G99)</f>
        <v/>
      </c>
      <c r="I99" s="31" t="n"/>
      <c r="J99" s="13">
        <f>IF(OR(G99="",I99=""),"",G99*I99)</f>
        <v/>
      </c>
      <c r="K99" s="31" t="n"/>
      <c r="L99" s="13">
        <f>IF(J99="","",J99-IF(K99="",0,K99))</f>
        <v/>
      </c>
      <c r="M99" s="31" t="n"/>
      <c r="N99" s="13">
        <f>IF(L99="","",L99-IF(M99="",0,M99))</f>
        <v/>
      </c>
      <c r="O99" s="29" t="n"/>
      <c r="P99" s="21">
        <f>IF(B99="","",VALUE(LEFT(B99,4)))</f>
        <v/>
      </c>
      <c r="Q99" s="21">
        <f>IF(B99="","",VALUE(MID(B99,6,2)))</f>
        <v/>
      </c>
    </row>
    <row r="100" ht="20" customHeight="1">
      <c r="A100" s="21">
        <f>IF(B100="","",ROW()-3)</f>
        <v/>
      </c>
      <c r="B100" s="29" t="n"/>
      <c r="C100" s="29" t="n"/>
      <c r="D100" s="29" t="n"/>
      <c r="E100" s="29" t="n"/>
      <c r="F100" s="33" t="n"/>
      <c r="G100" s="31" t="n"/>
      <c r="H100" s="17">
        <f>IF(OR(F100="",G100=""),"",F100*G100)</f>
        <v/>
      </c>
      <c r="I100" s="31" t="n"/>
      <c r="J100" s="13">
        <f>IF(OR(G100="",I100=""),"",G100*I100)</f>
        <v/>
      </c>
      <c r="K100" s="31" t="n"/>
      <c r="L100" s="13">
        <f>IF(J100="","",J100-IF(K100="",0,K100))</f>
        <v/>
      </c>
      <c r="M100" s="31" t="n"/>
      <c r="N100" s="13">
        <f>IF(L100="","",L100-IF(M100="",0,M100))</f>
        <v/>
      </c>
      <c r="O100" s="29" t="n"/>
      <c r="P100" s="21">
        <f>IF(B100="","",VALUE(LEFT(B100,4)))</f>
        <v/>
      </c>
      <c r="Q100" s="21">
        <f>IF(B100="","",VALUE(MID(B100,6,2)))</f>
        <v/>
      </c>
    </row>
    <row r="101" ht="20" customHeight="1">
      <c r="A101" s="21">
        <f>IF(B101="","",ROW()-3)</f>
        <v/>
      </c>
      <c r="B101" s="29" t="n"/>
      <c r="C101" s="29" t="n"/>
      <c r="D101" s="29" t="n"/>
      <c r="E101" s="29" t="n"/>
      <c r="F101" s="33" t="n"/>
      <c r="G101" s="31" t="n"/>
      <c r="H101" s="17">
        <f>IF(OR(F101="",G101=""),"",F101*G101)</f>
        <v/>
      </c>
      <c r="I101" s="31" t="n"/>
      <c r="J101" s="13">
        <f>IF(OR(G101="",I101=""),"",G101*I101)</f>
        <v/>
      </c>
      <c r="K101" s="31" t="n"/>
      <c r="L101" s="13">
        <f>IF(J101="","",J101-IF(K101="",0,K101))</f>
        <v/>
      </c>
      <c r="M101" s="31" t="n"/>
      <c r="N101" s="13">
        <f>IF(L101="","",L101-IF(M101="",0,M101))</f>
        <v/>
      </c>
      <c r="O101" s="29" t="n"/>
      <c r="P101" s="21">
        <f>IF(B101="","",VALUE(LEFT(B101,4)))</f>
        <v/>
      </c>
      <c r="Q101" s="21">
        <f>IF(B101="","",VALUE(MID(B101,6,2)))</f>
        <v/>
      </c>
    </row>
    <row r="102" ht="20" customHeight="1">
      <c r="A102" s="21">
        <f>IF(B102="","",ROW()-3)</f>
        <v/>
      </c>
      <c r="B102" s="29" t="n"/>
      <c r="C102" s="29" t="n"/>
      <c r="D102" s="29" t="n"/>
      <c r="E102" s="29" t="n"/>
      <c r="F102" s="33" t="n"/>
      <c r="G102" s="31" t="n"/>
      <c r="H102" s="17">
        <f>IF(OR(F102="",G102=""),"",F102*G102)</f>
        <v/>
      </c>
      <c r="I102" s="31" t="n"/>
      <c r="J102" s="13">
        <f>IF(OR(G102="",I102=""),"",G102*I102)</f>
        <v/>
      </c>
      <c r="K102" s="31" t="n"/>
      <c r="L102" s="13">
        <f>IF(J102="","",J102-IF(K102="",0,K102))</f>
        <v/>
      </c>
      <c r="M102" s="31" t="n"/>
      <c r="N102" s="13">
        <f>IF(L102="","",L102-IF(M102="",0,M102))</f>
        <v/>
      </c>
      <c r="O102" s="29" t="n"/>
      <c r="P102" s="21">
        <f>IF(B102="","",VALUE(LEFT(B102,4)))</f>
        <v/>
      </c>
      <c r="Q102" s="21">
        <f>IF(B102="","",VALUE(MID(B102,6,2)))</f>
        <v/>
      </c>
    </row>
    <row r="103" ht="20" customHeight="1">
      <c r="A103" s="21">
        <f>IF(B103="","",ROW()-3)</f>
        <v/>
      </c>
      <c r="B103" s="29" t="n"/>
      <c r="C103" s="29" t="n"/>
      <c r="D103" s="29" t="n"/>
      <c r="E103" s="29" t="n"/>
      <c r="F103" s="33" t="n"/>
      <c r="G103" s="31" t="n"/>
      <c r="H103" s="17">
        <f>IF(OR(F103="",G103=""),"",F103*G103)</f>
        <v/>
      </c>
      <c r="I103" s="31" t="n"/>
      <c r="J103" s="13">
        <f>IF(OR(G103="",I103=""),"",G103*I103)</f>
        <v/>
      </c>
      <c r="K103" s="31" t="n"/>
      <c r="L103" s="13">
        <f>IF(J103="","",J103-IF(K103="",0,K103))</f>
        <v/>
      </c>
      <c r="M103" s="31" t="n"/>
      <c r="N103" s="13">
        <f>IF(L103="","",L103-IF(M103="",0,M103))</f>
        <v/>
      </c>
      <c r="O103" s="29" t="n"/>
      <c r="P103" s="21">
        <f>IF(B103="","",VALUE(LEFT(B103,4)))</f>
        <v/>
      </c>
      <c r="Q103" s="21">
        <f>IF(B103="","",VALUE(MID(B103,6,2)))</f>
        <v/>
      </c>
    </row>
    <row r="104" ht="20" customHeight="1">
      <c r="A104" s="21">
        <f>IF(B104="","",ROW()-3)</f>
        <v/>
      </c>
      <c r="B104" s="29" t="n"/>
      <c r="C104" s="29" t="n"/>
      <c r="D104" s="29" t="n"/>
      <c r="E104" s="29" t="n"/>
      <c r="F104" s="33" t="n"/>
      <c r="G104" s="31" t="n"/>
      <c r="H104" s="17">
        <f>IF(OR(F104="",G104=""),"",F104*G104)</f>
        <v/>
      </c>
      <c r="I104" s="31" t="n"/>
      <c r="J104" s="13">
        <f>IF(OR(G104="",I104=""),"",G104*I104)</f>
        <v/>
      </c>
      <c r="K104" s="31" t="n"/>
      <c r="L104" s="13">
        <f>IF(J104="","",J104-IF(K104="",0,K104))</f>
        <v/>
      </c>
      <c r="M104" s="31" t="n"/>
      <c r="N104" s="13">
        <f>IF(L104="","",L104-IF(M104="",0,M104))</f>
        <v/>
      </c>
      <c r="O104" s="29" t="n"/>
      <c r="P104" s="21">
        <f>IF(B104="","",VALUE(LEFT(B104,4)))</f>
        <v/>
      </c>
      <c r="Q104" s="21">
        <f>IF(B104="","",VALUE(MID(B104,6,2)))</f>
        <v/>
      </c>
    </row>
    <row r="105" ht="20" customHeight="1">
      <c r="A105" s="21">
        <f>IF(B105="","",ROW()-3)</f>
        <v/>
      </c>
      <c r="B105" s="29" t="n"/>
      <c r="C105" s="29" t="n"/>
      <c r="D105" s="29" t="n"/>
      <c r="E105" s="29" t="n"/>
      <c r="F105" s="33" t="n"/>
      <c r="G105" s="31" t="n"/>
      <c r="H105" s="17">
        <f>IF(OR(F105="",G105=""),"",F105*G105)</f>
        <v/>
      </c>
      <c r="I105" s="31" t="n"/>
      <c r="J105" s="13">
        <f>IF(OR(G105="",I105=""),"",G105*I105)</f>
        <v/>
      </c>
      <c r="K105" s="31" t="n"/>
      <c r="L105" s="13">
        <f>IF(J105="","",J105-IF(K105="",0,K105))</f>
        <v/>
      </c>
      <c r="M105" s="31" t="n"/>
      <c r="N105" s="13">
        <f>IF(L105="","",L105-IF(M105="",0,M105))</f>
        <v/>
      </c>
      <c r="O105" s="29" t="n"/>
      <c r="P105" s="21">
        <f>IF(B105="","",VALUE(LEFT(B105,4)))</f>
        <v/>
      </c>
      <c r="Q105" s="21">
        <f>IF(B105="","",VALUE(MID(B105,6,2)))</f>
        <v/>
      </c>
    </row>
    <row r="106" ht="20" customHeight="1">
      <c r="A106" s="21">
        <f>IF(B106="","",ROW()-3)</f>
        <v/>
      </c>
      <c r="B106" s="29" t="n"/>
      <c r="C106" s="29" t="n"/>
      <c r="D106" s="29" t="n"/>
      <c r="E106" s="29" t="n"/>
      <c r="F106" s="33" t="n"/>
      <c r="G106" s="31" t="n"/>
      <c r="H106" s="17">
        <f>IF(OR(F106="",G106=""),"",F106*G106)</f>
        <v/>
      </c>
      <c r="I106" s="31" t="n"/>
      <c r="J106" s="13">
        <f>IF(OR(G106="",I106=""),"",G106*I106)</f>
        <v/>
      </c>
      <c r="K106" s="31" t="n"/>
      <c r="L106" s="13">
        <f>IF(J106="","",J106-IF(K106="",0,K106))</f>
        <v/>
      </c>
      <c r="M106" s="31" t="n"/>
      <c r="N106" s="13">
        <f>IF(L106="","",L106-IF(M106="",0,M106))</f>
        <v/>
      </c>
      <c r="O106" s="29" t="n"/>
      <c r="P106" s="21">
        <f>IF(B106="","",VALUE(LEFT(B106,4)))</f>
        <v/>
      </c>
      <c r="Q106" s="21">
        <f>IF(B106="","",VALUE(MID(B106,6,2)))</f>
        <v/>
      </c>
    </row>
    <row r="107" ht="20" customHeight="1">
      <c r="A107" s="21">
        <f>IF(B107="","",ROW()-3)</f>
        <v/>
      </c>
      <c r="B107" s="29" t="n"/>
      <c r="C107" s="29" t="n"/>
      <c r="D107" s="29" t="n"/>
      <c r="E107" s="29" t="n"/>
      <c r="F107" s="33" t="n"/>
      <c r="G107" s="31" t="n"/>
      <c r="H107" s="17">
        <f>IF(OR(F107="",G107=""),"",F107*G107)</f>
        <v/>
      </c>
      <c r="I107" s="31" t="n"/>
      <c r="J107" s="13">
        <f>IF(OR(G107="",I107=""),"",G107*I107)</f>
        <v/>
      </c>
      <c r="K107" s="31" t="n"/>
      <c r="L107" s="13">
        <f>IF(J107="","",J107-IF(K107="",0,K107))</f>
        <v/>
      </c>
      <c r="M107" s="31" t="n"/>
      <c r="N107" s="13">
        <f>IF(L107="","",L107-IF(M107="",0,M107))</f>
        <v/>
      </c>
      <c r="O107" s="29" t="n"/>
      <c r="P107" s="21">
        <f>IF(B107="","",VALUE(LEFT(B107,4)))</f>
        <v/>
      </c>
      <c r="Q107" s="21">
        <f>IF(B107="","",VALUE(MID(B107,6,2)))</f>
        <v/>
      </c>
    </row>
    <row r="108" ht="20" customHeight="1">
      <c r="A108" s="21">
        <f>IF(B108="","",ROW()-3)</f>
        <v/>
      </c>
      <c r="B108" s="29" t="n"/>
      <c r="C108" s="29" t="n"/>
      <c r="D108" s="29" t="n"/>
      <c r="E108" s="29" t="n"/>
      <c r="F108" s="33" t="n"/>
      <c r="G108" s="31" t="n"/>
      <c r="H108" s="17">
        <f>IF(OR(F108="",G108=""),"",F108*G108)</f>
        <v/>
      </c>
      <c r="I108" s="31" t="n"/>
      <c r="J108" s="13">
        <f>IF(OR(G108="",I108=""),"",G108*I108)</f>
        <v/>
      </c>
      <c r="K108" s="31" t="n"/>
      <c r="L108" s="13">
        <f>IF(J108="","",J108-IF(K108="",0,K108))</f>
        <v/>
      </c>
      <c r="M108" s="31" t="n"/>
      <c r="N108" s="13">
        <f>IF(L108="","",L108-IF(M108="",0,M108))</f>
        <v/>
      </c>
      <c r="O108" s="29" t="n"/>
      <c r="P108" s="21">
        <f>IF(B108="","",VALUE(LEFT(B108,4)))</f>
        <v/>
      </c>
      <c r="Q108" s="21">
        <f>IF(B108="","",VALUE(MID(B108,6,2)))</f>
        <v/>
      </c>
    </row>
    <row r="109" ht="20" customHeight="1">
      <c r="A109" s="21">
        <f>IF(B109="","",ROW()-3)</f>
        <v/>
      </c>
      <c r="B109" s="29" t="n"/>
      <c r="C109" s="29" t="n"/>
      <c r="D109" s="29" t="n"/>
      <c r="E109" s="29" t="n"/>
      <c r="F109" s="33" t="n"/>
      <c r="G109" s="31" t="n"/>
      <c r="H109" s="17">
        <f>IF(OR(F109="",G109=""),"",F109*G109)</f>
        <v/>
      </c>
      <c r="I109" s="31" t="n"/>
      <c r="J109" s="13">
        <f>IF(OR(G109="",I109=""),"",G109*I109)</f>
        <v/>
      </c>
      <c r="K109" s="31" t="n"/>
      <c r="L109" s="13">
        <f>IF(J109="","",J109-IF(K109="",0,K109))</f>
        <v/>
      </c>
      <c r="M109" s="31" t="n"/>
      <c r="N109" s="13">
        <f>IF(L109="","",L109-IF(M109="",0,M109))</f>
        <v/>
      </c>
      <c r="O109" s="29" t="n"/>
      <c r="P109" s="21">
        <f>IF(B109="","",VALUE(LEFT(B109,4)))</f>
        <v/>
      </c>
      <c r="Q109" s="21">
        <f>IF(B109="","",VALUE(MID(B109,6,2)))</f>
        <v/>
      </c>
    </row>
    <row r="110" ht="20" customHeight="1">
      <c r="A110" s="21">
        <f>IF(B110="","",ROW()-3)</f>
        <v/>
      </c>
      <c r="B110" s="29" t="n"/>
      <c r="C110" s="29" t="n"/>
      <c r="D110" s="29" t="n"/>
      <c r="E110" s="29" t="n"/>
      <c r="F110" s="33" t="n"/>
      <c r="G110" s="31" t="n"/>
      <c r="H110" s="17">
        <f>IF(OR(F110="",G110=""),"",F110*G110)</f>
        <v/>
      </c>
      <c r="I110" s="31" t="n"/>
      <c r="J110" s="13">
        <f>IF(OR(G110="",I110=""),"",G110*I110)</f>
        <v/>
      </c>
      <c r="K110" s="31" t="n"/>
      <c r="L110" s="13">
        <f>IF(J110="","",J110-IF(K110="",0,K110))</f>
        <v/>
      </c>
      <c r="M110" s="31" t="n"/>
      <c r="N110" s="13">
        <f>IF(L110="","",L110-IF(M110="",0,M110))</f>
        <v/>
      </c>
      <c r="O110" s="29" t="n"/>
      <c r="P110" s="21">
        <f>IF(B110="","",VALUE(LEFT(B110,4)))</f>
        <v/>
      </c>
      <c r="Q110" s="21">
        <f>IF(B110="","",VALUE(MID(B110,6,2)))</f>
        <v/>
      </c>
    </row>
    <row r="111" ht="20" customHeight="1">
      <c r="A111" s="21">
        <f>IF(B111="","",ROW()-3)</f>
        <v/>
      </c>
      <c r="B111" s="29" t="n"/>
      <c r="C111" s="29" t="n"/>
      <c r="D111" s="29" t="n"/>
      <c r="E111" s="29" t="n"/>
      <c r="F111" s="33" t="n"/>
      <c r="G111" s="31" t="n"/>
      <c r="H111" s="17">
        <f>IF(OR(F111="",G111=""),"",F111*G111)</f>
        <v/>
      </c>
      <c r="I111" s="31" t="n"/>
      <c r="J111" s="13">
        <f>IF(OR(G111="",I111=""),"",G111*I111)</f>
        <v/>
      </c>
      <c r="K111" s="31" t="n"/>
      <c r="L111" s="13">
        <f>IF(J111="","",J111-IF(K111="",0,K111))</f>
        <v/>
      </c>
      <c r="M111" s="31" t="n"/>
      <c r="N111" s="13">
        <f>IF(L111="","",L111-IF(M111="",0,M111))</f>
        <v/>
      </c>
      <c r="O111" s="29" t="n"/>
      <c r="P111" s="21">
        <f>IF(B111="","",VALUE(LEFT(B111,4)))</f>
        <v/>
      </c>
      <c r="Q111" s="21">
        <f>IF(B111="","",VALUE(MID(B111,6,2)))</f>
        <v/>
      </c>
    </row>
    <row r="112" ht="20" customHeight="1">
      <c r="A112" s="21">
        <f>IF(B112="","",ROW()-3)</f>
        <v/>
      </c>
      <c r="B112" s="29" t="n"/>
      <c r="C112" s="29" t="n"/>
      <c r="D112" s="29" t="n"/>
      <c r="E112" s="29" t="n"/>
      <c r="F112" s="33" t="n"/>
      <c r="G112" s="31" t="n"/>
      <c r="H112" s="17">
        <f>IF(OR(F112="",G112=""),"",F112*G112)</f>
        <v/>
      </c>
      <c r="I112" s="31" t="n"/>
      <c r="J112" s="13">
        <f>IF(OR(G112="",I112=""),"",G112*I112)</f>
        <v/>
      </c>
      <c r="K112" s="31" t="n"/>
      <c r="L112" s="13">
        <f>IF(J112="","",J112-IF(K112="",0,K112))</f>
        <v/>
      </c>
      <c r="M112" s="31" t="n"/>
      <c r="N112" s="13">
        <f>IF(L112="","",L112-IF(M112="",0,M112))</f>
        <v/>
      </c>
      <c r="O112" s="29" t="n"/>
      <c r="P112" s="21">
        <f>IF(B112="","",VALUE(LEFT(B112,4)))</f>
        <v/>
      </c>
      <c r="Q112" s="21">
        <f>IF(B112="","",VALUE(MID(B112,6,2)))</f>
        <v/>
      </c>
    </row>
    <row r="113" ht="20" customHeight="1">
      <c r="A113" s="21">
        <f>IF(B113="","",ROW()-3)</f>
        <v/>
      </c>
      <c r="B113" s="29" t="n"/>
      <c r="C113" s="29" t="n"/>
      <c r="D113" s="29" t="n"/>
      <c r="E113" s="29" t="n"/>
      <c r="F113" s="33" t="n"/>
      <c r="G113" s="31" t="n"/>
      <c r="H113" s="17">
        <f>IF(OR(F113="",G113=""),"",F113*G113)</f>
        <v/>
      </c>
      <c r="I113" s="31" t="n"/>
      <c r="J113" s="13">
        <f>IF(OR(G113="",I113=""),"",G113*I113)</f>
        <v/>
      </c>
      <c r="K113" s="31" t="n"/>
      <c r="L113" s="13">
        <f>IF(J113="","",J113-IF(K113="",0,K113))</f>
        <v/>
      </c>
      <c r="M113" s="31" t="n"/>
      <c r="N113" s="13">
        <f>IF(L113="","",L113-IF(M113="",0,M113))</f>
        <v/>
      </c>
      <c r="O113" s="29" t="n"/>
      <c r="P113" s="21">
        <f>IF(B113="","",VALUE(LEFT(B113,4)))</f>
        <v/>
      </c>
      <c r="Q113" s="21">
        <f>IF(B113="","",VALUE(MID(B113,6,2)))</f>
        <v/>
      </c>
    </row>
    <row r="114" ht="20" customHeight="1">
      <c r="A114" s="21">
        <f>IF(B114="","",ROW()-3)</f>
        <v/>
      </c>
      <c r="B114" s="29" t="n"/>
      <c r="C114" s="29" t="n"/>
      <c r="D114" s="29" t="n"/>
      <c r="E114" s="29" t="n"/>
      <c r="F114" s="33" t="n"/>
      <c r="G114" s="31" t="n"/>
      <c r="H114" s="17">
        <f>IF(OR(F114="",G114=""),"",F114*G114)</f>
        <v/>
      </c>
      <c r="I114" s="31" t="n"/>
      <c r="J114" s="13">
        <f>IF(OR(G114="",I114=""),"",G114*I114)</f>
        <v/>
      </c>
      <c r="K114" s="31" t="n"/>
      <c r="L114" s="13">
        <f>IF(J114="","",J114-IF(K114="",0,K114))</f>
        <v/>
      </c>
      <c r="M114" s="31" t="n"/>
      <c r="N114" s="13">
        <f>IF(L114="","",L114-IF(M114="",0,M114))</f>
        <v/>
      </c>
      <c r="O114" s="29" t="n"/>
      <c r="P114" s="21">
        <f>IF(B114="","",VALUE(LEFT(B114,4)))</f>
        <v/>
      </c>
      <c r="Q114" s="21">
        <f>IF(B114="","",VALUE(MID(B114,6,2)))</f>
        <v/>
      </c>
    </row>
    <row r="115" ht="20" customHeight="1">
      <c r="A115" s="21">
        <f>IF(B115="","",ROW()-3)</f>
        <v/>
      </c>
      <c r="B115" s="29" t="n"/>
      <c r="C115" s="29" t="n"/>
      <c r="D115" s="29" t="n"/>
      <c r="E115" s="29" t="n"/>
      <c r="F115" s="33" t="n"/>
      <c r="G115" s="31" t="n"/>
      <c r="H115" s="17">
        <f>IF(OR(F115="",G115=""),"",F115*G115)</f>
        <v/>
      </c>
      <c r="I115" s="31" t="n"/>
      <c r="J115" s="13">
        <f>IF(OR(G115="",I115=""),"",G115*I115)</f>
        <v/>
      </c>
      <c r="K115" s="31" t="n"/>
      <c r="L115" s="13">
        <f>IF(J115="","",J115-IF(K115="",0,K115))</f>
        <v/>
      </c>
      <c r="M115" s="31" t="n"/>
      <c r="N115" s="13">
        <f>IF(L115="","",L115-IF(M115="",0,M115))</f>
        <v/>
      </c>
      <c r="O115" s="29" t="n"/>
      <c r="P115" s="21">
        <f>IF(B115="","",VALUE(LEFT(B115,4)))</f>
        <v/>
      </c>
      <c r="Q115" s="21">
        <f>IF(B115="","",VALUE(MID(B115,6,2)))</f>
        <v/>
      </c>
    </row>
    <row r="116" ht="20" customHeight="1">
      <c r="A116" s="21">
        <f>IF(B116="","",ROW()-3)</f>
        <v/>
      </c>
      <c r="B116" s="29" t="n"/>
      <c r="C116" s="29" t="n"/>
      <c r="D116" s="29" t="n"/>
      <c r="E116" s="29" t="n"/>
      <c r="F116" s="33" t="n"/>
      <c r="G116" s="31" t="n"/>
      <c r="H116" s="17">
        <f>IF(OR(F116="",G116=""),"",F116*G116)</f>
        <v/>
      </c>
      <c r="I116" s="31" t="n"/>
      <c r="J116" s="13">
        <f>IF(OR(G116="",I116=""),"",G116*I116)</f>
        <v/>
      </c>
      <c r="K116" s="31" t="n"/>
      <c r="L116" s="13">
        <f>IF(J116="","",J116-IF(K116="",0,K116))</f>
        <v/>
      </c>
      <c r="M116" s="31" t="n"/>
      <c r="N116" s="13">
        <f>IF(L116="","",L116-IF(M116="",0,M116))</f>
        <v/>
      </c>
      <c r="O116" s="29" t="n"/>
      <c r="P116" s="21">
        <f>IF(B116="","",VALUE(LEFT(B116,4)))</f>
        <v/>
      </c>
      <c r="Q116" s="21">
        <f>IF(B116="","",VALUE(MID(B116,6,2)))</f>
        <v/>
      </c>
    </row>
    <row r="117" ht="20" customHeight="1">
      <c r="A117" s="21">
        <f>IF(B117="","",ROW()-3)</f>
        <v/>
      </c>
      <c r="B117" s="29" t="n"/>
      <c r="C117" s="29" t="n"/>
      <c r="D117" s="29" t="n"/>
      <c r="E117" s="29" t="n"/>
      <c r="F117" s="33" t="n"/>
      <c r="G117" s="31" t="n"/>
      <c r="H117" s="17">
        <f>IF(OR(F117="",G117=""),"",F117*G117)</f>
        <v/>
      </c>
      <c r="I117" s="31" t="n"/>
      <c r="J117" s="13">
        <f>IF(OR(G117="",I117=""),"",G117*I117)</f>
        <v/>
      </c>
      <c r="K117" s="31" t="n"/>
      <c r="L117" s="13">
        <f>IF(J117="","",J117-IF(K117="",0,K117))</f>
        <v/>
      </c>
      <c r="M117" s="31" t="n"/>
      <c r="N117" s="13">
        <f>IF(L117="","",L117-IF(M117="",0,M117))</f>
        <v/>
      </c>
      <c r="O117" s="29" t="n"/>
      <c r="P117" s="21">
        <f>IF(B117="","",VALUE(LEFT(B117,4)))</f>
        <v/>
      </c>
      <c r="Q117" s="21">
        <f>IF(B117="","",VALUE(MID(B117,6,2)))</f>
        <v/>
      </c>
    </row>
    <row r="118" ht="20" customHeight="1">
      <c r="A118" s="21">
        <f>IF(B118="","",ROW()-3)</f>
        <v/>
      </c>
      <c r="B118" s="29" t="n"/>
      <c r="C118" s="29" t="n"/>
      <c r="D118" s="29" t="n"/>
      <c r="E118" s="29" t="n"/>
      <c r="F118" s="33" t="n"/>
      <c r="G118" s="31" t="n"/>
      <c r="H118" s="17">
        <f>IF(OR(F118="",G118=""),"",F118*G118)</f>
        <v/>
      </c>
      <c r="I118" s="31" t="n"/>
      <c r="J118" s="13">
        <f>IF(OR(G118="",I118=""),"",G118*I118)</f>
        <v/>
      </c>
      <c r="K118" s="31" t="n"/>
      <c r="L118" s="13">
        <f>IF(J118="","",J118-IF(K118="",0,K118))</f>
        <v/>
      </c>
      <c r="M118" s="31" t="n"/>
      <c r="N118" s="13">
        <f>IF(L118="","",L118-IF(M118="",0,M118))</f>
        <v/>
      </c>
      <c r="O118" s="29" t="n"/>
      <c r="P118" s="21">
        <f>IF(B118="","",VALUE(LEFT(B118,4)))</f>
        <v/>
      </c>
      <c r="Q118" s="21">
        <f>IF(B118="","",VALUE(MID(B118,6,2)))</f>
        <v/>
      </c>
    </row>
    <row r="119" ht="20" customHeight="1">
      <c r="A119" s="21">
        <f>IF(B119="","",ROW()-3)</f>
        <v/>
      </c>
      <c r="B119" s="29" t="n"/>
      <c r="C119" s="29" t="n"/>
      <c r="D119" s="29" t="n"/>
      <c r="E119" s="29" t="n"/>
      <c r="F119" s="33" t="n"/>
      <c r="G119" s="31" t="n"/>
      <c r="H119" s="17">
        <f>IF(OR(F119="",G119=""),"",F119*G119)</f>
        <v/>
      </c>
      <c r="I119" s="31" t="n"/>
      <c r="J119" s="13">
        <f>IF(OR(G119="",I119=""),"",G119*I119)</f>
        <v/>
      </c>
      <c r="K119" s="31" t="n"/>
      <c r="L119" s="13">
        <f>IF(J119="","",J119-IF(K119="",0,K119))</f>
        <v/>
      </c>
      <c r="M119" s="31" t="n"/>
      <c r="N119" s="13">
        <f>IF(L119="","",L119-IF(M119="",0,M119))</f>
        <v/>
      </c>
      <c r="O119" s="29" t="n"/>
      <c r="P119" s="21">
        <f>IF(B119="","",VALUE(LEFT(B119,4)))</f>
        <v/>
      </c>
      <c r="Q119" s="21">
        <f>IF(B119="","",VALUE(MID(B119,6,2)))</f>
        <v/>
      </c>
    </row>
    <row r="120" ht="20" customHeight="1">
      <c r="A120" s="21">
        <f>IF(B120="","",ROW()-3)</f>
        <v/>
      </c>
      <c r="B120" s="29" t="n"/>
      <c r="C120" s="29" t="n"/>
      <c r="D120" s="29" t="n"/>
      <c r="E120" s="29" t="n"/>
      <c r="F120" s="33" t="n"/>
      <c r="G120" s="31" t="n"/>
      <c r="H120" s="17">
        <f>IF(OR(F120="",G120=""),"",F120*G120)</f>
        <v/>
      </c>
      <c r="I120" s="31" t="n"/>
      <c r="J120" s="13">
        <f>IF(OR(G120="",I120=""),"",G120*I120)</f>
        <v/>
      </c>
      <c r="K120" s="31" t="n"/>
      <c r="L120" s="13">
        <f>IF(J120="","",J120-IF(K120="",0,K120))</f>
        <v/>
      </c>
      <c r="M120" s="31" t="n"/>
      <c r="N120" s="13">
        <f>IF(L120="","",L120-IF(M120="",0,M120))</f>
        <v/>
      </c>
      <c r="O120" s="29" t="n"/>
      <c r="P120" s="21">
        <f>IF(B120="","",VALUE(LEFT(B120,4)))</f>
        <v/>
      </c>
      <c r="Q120" s="21">
        <f>IF(B120="","",VALUE(MID(B120,6,2)))</f>
        <v/>
      </c>
    </row>
    <row r="121" ht="20" customHeight="1">
      <c r="A121" s="21">
        <f>IF(B121="","",ROW()-3)</f>
        <v/>
      </c>
      <c r="B121" s="29" t="n"/>
      <c r="C121" s="29" t="n"/>
      <c r="D121" s="29" t="n"/>
      <c r="E121" s="29" t="n"/>
      <c r="F121" s="33" t="n"/>
      <c r="G121" s="31" t="n"/>
      <c r="H121" s="17">
        <f>IF(OR(F121="",G121=""),"",F121*G121)</f>
        <v/>
      </c>
      <c r="I121" s="31" t="n"/>
      <c r="J121" s="13">
        <f>IF(OR(G121="",I121=""),"",G121*I121)</f>
        <v/>
      </c>
      <c r="K121" s="31" t="n"/>
      <c r="L121" s="13">
        <f>IF(J121="","",J121-IF(K121="",0,K121))</f>
        <v/>
      </c>
      <c r="M121" s="31" t="n"/>
      <c r="N121" s="13">
        <f>IF(L121="","",L121-IF(M121="",0,M121))</f>
        <v/>
      </c>
      <c r="O121" s="29" t="n"/>
      <c r="P121" s="21">
        <f>IF(B121="","",VALUE(LEFT(B121,4)))</f>
        <v/>
      </c>
      <c r="Q121" s="21">
        <f>IF(B121="","",VALUE(MID(B121,6,2)))</f>
        <v/>
      </c>
    </row>
    <row r="122" ht="20" customHeight="1">
      <c r="A122" s="21">
        <f>IF(B122="","",ROW()-3)</f>
        <v/>
      </c>
      <c r="B122" s="29" t="n"/>
      <c r="C122" s="29" t="n"/>
      <c r="D122" s="29" t="n"/>
      <c r="E122" s="29" t="n"/>
      <c r="F122" s="33" t="n"/>
      <c r="G122" s="31" t="n"/>
      <c r="H122" s="17">
        <f>IF(OR(F122="",G122=""),"",F122*G122)</f>
        <v/>
      </c>
      <c r="I122" s="31" t="n"/>
      <c r="J122" s="13">
        <f>IF(OR(G122="",I122=""),"",G122*I122)</f>
        <v/>
      </c>
      <c r="K122" s="31" t="n"/>
      <c r="L122" s="13">
        <f>IF(J122="","",J122-IF(K122="",0,K122))</f>
        <v/>
      </c>
      <c r="M122" s="31" t="n"/>
      <c r="N122" s="13">
        <f>IF(L122="","",L122-IF(M122="",0,M122))</f>
        <v/>
      </c>
      <c r="O122" s="29" t="n"/>
      <c r="P122" s="21">
        <f>IF(B122="","",VALUE(LEFT(B122,4)))</f>
        <v/>
      </c>
      <c r="Q122" s="21">
        <f>IF(B122="","",VALUE(MID(B122,6,2)))</f>
        <v/>
      </c>
    </row>
    <row r="123" ht="20" customHeight="1">
      <c r="A123" s="21">
        <f>IF(B123="","",ROW()-3)</f>
        <v/>
      </c>
      <c r="B123" s="29" t="n"/>
      <c r="C123" s="29" t="n"/>
      <c r="D123" s="29" t="n"/>
      <c r="E123" s="29" t="n"/>
      <c r="F123" s="33" t="n"/>
      <c r="G123" s="31" t="n"/>
      <c r="H123" s="17">
        <f>IF(OR(F123="",G123=""),"",F123*G123)</f>
        <v/>
      </c>
      <c r="I123" s="31" t="n"/>
      <c r="J123" s="13">
        <f>IF(OR(G123="",I123=""),"",G123*I123)</f>
        <v/>
      </c>
      <c r="K123" s="31" t="n"/>
      <c r="L123" s="13">
        <f>IF(J123="","",J123-IF(K123="",0,K123))</f>
        <v/>
      </c>
      <c r="M123" s="31" t="n"/>
      <c r="N123" s="13">
        <f>IF(L123="","",L123-IF(M123="",0,M123))</f>
        <v/>
      </c>
      <c r="O123" s="29" t="n"/>
      <c r="P123" s="21">
        <f>IF(B123="","",VALUE(LEFT(B123,4)))</f>
        <v/>
      </c>
      <c r="Q123" s="21">
        <f>IF(B123="","",VALUE(MID(B123,6,2)))</f>
        <v/>
      </c>
    </row>
    <row r="124" ht="20" customHeight="1">
      <c r="A124" s="21">
        <f>IF(B124="","",ROW()-3)</f>
        <v/>
      </c>
      <c r="B124" s="29" t="n"/>
      <c r="C124" s="29" t="n"/>
      <c r="D124" s="29" t="n"/>
      <c r="E124" s="29" t="n"/>
      <c r="F124" s="33" t="n"/>
      <c r="G124" s="31" t="n"/>
      <c r="H124" s="17">
        <f>IF(OR(F124="",G124=""),"",F124*G124)</f>
        <v/>
      </c>
      <c r="I124" s="31" t="n"/>
      <c r="J124" s="13">
        <f>IF(OR(G124="",I124=""),"",G124*I124)</f>
        <v/>
      </c>
      <c r="K124" s="31" t="n"/>
      <c r="L124" s="13">
        <f>IF(J124="","",J124-IF(K124="",0,K124))</f>
        <v/>
      </c>
      <c r="M124" s="31" t="n"/>
      <c r="N124" s="13">
        <f>IF(L124="","",L124-IF(M124="",0,M124))</f>
        <v/>
      </c>
      <c r="O124" s="29" t="n"/>
      <c r="P124" s="21">
        <f>IF(B124="","",VALUE(LEFT(B124,4)))</f>
        <v/>
      </c>
      <c r="Q124" s="21">
        <f>IF(B124="","",VALUE(MID(B124,6,2)))</f>
        <v/>
      </c>
    </row>
    <row r="125" ht="20" customHeight="1">
      <c r="A125" s="21">
        <f>IF(B125="","",ROW()-3)</f>
        <v/>
      </c>
      <c r="B125" s="29" t="n"/>
      <c r="C125" s="29" t="n"/>
      <c r="D125" s="29" t="n"/>
      <c r="E125" s="29" t="n"/>
      <c r="F125" s="33" t="n"/>
      <c r="G125" s="31" t="n"/>
      <c r="H125" s="17">
        <f>IF(OR(F125="",G125=""),"",F125*G125)</f>
        <v/>
      </c>
      <c r="I125" s="31" t="n"/>
      <c r="J125" s="13">
        <f>IF(OR(G125="",I125=""),"",G125*I125)</f>
        <v/>
      </c>
      <c r="K125" s="31" t="n"/>
      <c r="L125" s="13">
        <f>IF(J125="","",J125-IF(K125="",0,K125))</f>
        <v/>
      </c>
      <c r="M125" s="31" t="n"/>
      <c r="N125" s="13">
        <f>IF(L125="","",L125-IF(M125="",0,M125))</f>
        <v/>
      </c>
      <c r="O125" s="29" t="n"/>
      <c r="P125" s="21">
        <f>IF(B125="","",VALUE(LEFT(B125,4)))</f>
        <v/>
      </c>
      <c r="Q125" s="21">
        <f>IF(B125="","",VALUE(MID(B125,6,2)))</f>
        <v/>
      </c>
    </row>
    <row r="126" ht="20" customHeight="1">
      <c r="A126" s="21">
        <f>IF(B126="","",ROW()-3)</f>
        <v/>
      </c>
      <c r="B126" s="29" t="n"/>
      <c r="C126" s="29" t="n"/>
      <c r="D126" s="29" t="n"/>
      <c r="E126" s="29" t="n"/>
      <c r="F126" s="33" t="n"/>
      <c r="G126" s="31" t="n"/>
      <c r="H126" s="17">
        <f>IF(OR(F126="",G126=""),"",F126*G126)</f>
        <v/>
      </c>
      <c r="I126" s="31" t="n"/>
      <c r="J126" s="13">
        <f>IF(OR(G126="",I126=""),"",G126*I126)</f>
        <v/>
      </c>
      <c r="K126" s="31" t="n"/>
      <c r="L126" s="13">
        <f>IF(J126="","",J126-IF(K126="",0,K126))</f>
        <v/>
      </c>
      <c r="M126" s="31" t="n"/>
      <c r="N126" s="13">
        <f>IF(L126="","",L126-IF(M126="",0,M126))</f>
        <v/>
      </c>
      <c r="O126" s="29" t="n"/>
      <c r="P126" s="21">
        <f>IF(B126="","",VALUE(LEFT(B126,4)))</f>
        <v/>
      </c>
      <c r="Q126" s="21">
        <f>IF(B126="","",VALUE(MID(B126,6,2)))</f>
        <v/>
      </c>
    </row>
    <row r="127" ht="20" customHeight="1">
      <c r="A127" s="21">
        <f>IF(B127="","",ROW()-3)</f>
        <v/>
      </c>
      <c r="B127" s="29" t="n"/>
      <c r="C127" s="29" t="n"/>
      <c r="D127" s="29" t="n"/>
      <c r="E127" s="29" t="n"/>
      <c r="F127" s="33" t="n"/>
      <c r="G127" s="31" t="n"/>
      <c r="H127" s="17">
        <f>IF(OR(F127="",G127=""),"",F127*G127)</f>
        <v/>
      </c>
      <c r="I127" s="31" t="n"/>
      <c r="J127" s="13">
        <f>IF(OR(G127="",I127=""),"",G127*I127)</f>
        <v/>
      </c>
      <c r="K127" s="31" t="n"/>
      <c r="L127" s="13">
        <f>IF(J127="","",J127-IF(K127="",0,K127))</f>
        <v/>
      </c>
      <c r="M127" s="31" t="n"/>
      <c r="N127" s="13">
        <f>IF(L127="","",L127-IF(M127="",0,M127))</f>
        <v/>
      </c>
      <c r="O127" s="29" t="n"/>
      <c r="P127" s="21">
        <f>IF(B127="","",VALUE(LEFT(B127,4)))</f>
        <v/>
      </c>
      <c r="Q127" s="21">
        <f>IF(B127="","",VALUE(MID(B127,6,2)))</f>
        <v/>
      </c>
    </row>
    <row r="128" ht="20" customHeight="1">
      <c r="A128" s="21">
        <f>IF(B128="","",ROW()-3)</f>
        <v/>
      </c>
      <c r="B128" s="29" t="n"/>
      <c r="C128" s="29" t="n"/>
      <c r="D128" s="29" t="n"/>
      <c r="E128" s="29" t="n"/>
      <c r="F128" s="33" t="n"/>
      <c r="G128" s="31" t="n"/>
      <c r="H128" s="17">
        <f>IF(OR(F128="",G128=""),"",F128*G128)</f>
        <v/>
      </c>
      <c r="I128" s="31" t="n"/>
      <c r="J128" s="13">
        <f>IF(OR(G128="",I128=""),"",G128*I128)</f>
        <v/>
      </c>
      <c r="K128" s="31" t="n"/>
      <c r="L128" s="13">
        <f>IF(J128="","",J128-IF(K128="",0,K128))</f>
        <v/>
      </c>
      <c r="M128" s="31" t="n"/>
      <c r="N128" s="13">
        <f>IF(L128="","",L128-IF(M128="",0,M128))</f>
        <v/>
      </c>
      <c r="O128" s="29" t="n"/>
      <c r="P128" s="21">
        <f>IF(B128="","",VALUE(LEFT(B128,4)))</f>
        <v/>
      </c>
      <c r="Q128" s="21">
        <f>IF(B128="","",VALUE(MID(B128,6,2)))</f>
        <v/>
      </c>
    </row>
    <row r="129" ht="20" customHeight="1">
      <c r="A129" s="21">
        <f>IF(B129="","",ROW()-3)</f>
        <v/>
      </c>
      <c r="B129" s="29" t="n"/>
      <c r="C129" s="29" t="n"/>
      <c r="D129" s="29" t="n"/>
      <c r="E129" s="29" t="n"/>
      <c r="F129" s="33" t="n"/>
      <c r="G129" s="31" t="n"/>
      <c r="H129" s="17">
        <f>IF(OR(F129="",G129=""),"",F129*G129)</f>
        <v/>
      </c>
      <c r="I129" s="31" t="n"/>
      <c r="J129" s="13">
        <f>IF(OR(G129="",I129=""),"",G129*I129)</f>
        <v/>
      </c>
      <c r="K129" s="31" t="n"/>
      <c r="L129" s="13">
        <f>IF(J129="","",J129-IF(K129="",0,K129))</f>
        <v/>
      </c>
      <c r="M129" s="31" t="n"/>
      <c r="N129" s="13">
        <f>IF(L129="","",L129-IF(M129="",0,M129))</f>
        <v/>
      </c>
      <c r="O129" s="29" t="n"/>
      <c r="P129" s="21">
        <f>IF(B129="","",VALUE(LEFT(B129,4)))</f>
        <v/>
      </c>
      <c r="Q129" s="21">
        <f>IF(B129="","",VALUE(MID(B129,6,2)))</f>
        <v/>
      </c>
    </row>
    <row r="130" ht="20" customHeight="1">
      <c r="A130" s="21">
        <f>IF(B130="","",ROW()-3)</f>
        <v/>
      </c>
      <c r="B130" s="29" t="n"/>
      <c r="C130" s="29" t="n"/>
      <c r="D130" s="29" t="n"/>
      <c r="E130" s="29" t="n"/>
      <c r="F130" s="33" t="n"/>
      <c r="G130" s="31" t="n"/>
      <c r="H130" s="17">
        <f>IF(OR(F130="",G130=""),"",F130*G130)</f>
        <v/>
      </c>
      <c r="I130" s="31" t="n"/>
      <c r="J130" s="13">
        <f>IF(OR(G130="",I130=""),"",G130*I130)</f>
        <v/>
      </c>
      <c r="K130" s="31" t="n"/>
      <c r="L130" s="13">
        <f>IF(J130="","",J130-IF(K130="",0,K130))</f>
        <v/>
      </c>
      <c r="M130" s="31" t="n"/>
      <c r="N130" s="13">
        <f>IF(L130="","",L130-IF(M130="",0,M130))</f>
        <v/>
      </c>
      <c r="O130" s="29" t="n"/>
      <c r="P130" s="21">
        <f>IF(B130="","",VALUE(LEFT(B130,4)))</f>
        <v/>
      </c>
      <c r="Q130" s="21">
        <f>IF(B130="","",VALUE(MID(B130,6,2)))</f>
        <v/>
      </c>
    </row>
    <row r="131" ht="20" customHeight="1">
      <c r="A131" s="21">
        <f>IF(B131="","",ROW()-3)</f>
        <v/>
      </c>
      <c r="B131" s="29" t="n"/>
      <c r="C131" s="29" t="n"/>
      <c r="D131" s="29" t="n"/>
      <c r="E131" s="29" t="n"/>
      <c r="F131" s="33" t="n"/>
      <c r="G131" s="31" t="n"/>
      <c r="H131" s="17">
        <f>IF(OR(F131="",G131=""),"",F131*G131)</f>
        <v/>
      </c>
      <c r="I131" s="31" t="n"/>
      <c r="J131" s="13">
        <f>IF(OR(G131="",I131=""),"",G131*I131)</f>
        <v/>
      </c>
      <c r="K131" s="31" t="n"/>
      <c r="L131" s="13">
        <f>IF(J131="","",J131-IF(K131="",0,K131))</f>
        <v/>
      </c>
      <c r="M131" s="31" t="n"/>
      <c r="N131" s="13">
        <f>IF(L131="","",L131-IF(M131="",0,M131))</f>
        <v/>
      </c>
      <c r="O131" s="29" t="n"/>
      <c r="P131" s="21">
        <f>IF(B131="","",VALUE(LEFT(B131,4)))</f>
        <v/>
      </c>
      <c r="Q131" s="21">
        <f>IF(B131="","",VALUE(MID(B131,6,2)))</f>
        <v/>
      </c>
    </row>
    <row r="132" ht="20" customHeight="1">
      <c r="A132" s="21">
        <f>IF(B132="","",ROW()-3)</f>
        <v/>
      </c>
      <c r="B132" s="29" t="n"/>
      <c r="C132" s="29" t="n"/>
      <c r="D132" s="29" t="n"/>
      <c r="E132" s="29" t="n"/>
      <c r="F132" s="33" t="n"/>
      <c r="G132" s="31" t="n"/>
      <c r="H132" s="17">
        <f>IF(OR(F132="",G132=""),"",F132*G132)</f>
        <v/>
      </c>
      <c r="I132" s="31" t="n"/>
      <c r="J132" s="13">
        <f>IF(OR(G132="",I132=""),"",G132*I132)</f>
        <v/>
      </c>
      <c r="K132" s="31" t="n"/>
      <c r="L132" s="13">
        <f>IF(J132="","",J132-IF(K132="",0,K132))</f>
        <v/>
      </c>
      <c r="M132" s="31" t="n"/>
      <c r="N132" s="13">
        <f>IF(L132="","",L132-IF(M132="",0,M132))</f>
        <v/>
      </c>
      <c r="O132" s="29" t="n"/>
      <c r="P132" s="21">
        <f>IF(B132="","",VALUE(LEFT(B132,4)))</f>
        <v/>
      </c>
      <c r="Q132" s="21">
        <f>IF(B132="","",VALUE(MID(B132,6,2)))</f>
        <v/>
      </c>
    </row>
    <row r="133" ht="20" customHeight="1">
      <c r="A133" s="21">
        <f>IF(B133="","",ROW()-3)</f>
        <v/>
      </c>
      <c r="B133" s="29" t="n"/>
      <c r="C133" s="29" t="n"/>
      <c r="D133" s="29" t="n"/>
      <c r="E133" s="29" t="n"/>
      <c r="F133" s="33" t="n"/>
      <c r="G133" s="31" t="n"/>
      <c r="H133" s="17">
        <f>IF(OR(F133="",G133=""),"",F133*G133)</f>
        <v/>
      </c>
      <c r="I133" s="31" t="n"/>
      <c r="J133" s="13">
        <f>IF(OR(G133="",I133=""),"",G133*I133)</f>
        <v/>
      </c>
      <c r="K133" s="31" t="n"/>
      <c r="L133" s="13">
        <f>IF(J133="","",J133-IF(K133="",0,K133))</f>
        <v/>
      </c>
      <c r="M133" s="31" t="n"/>
      <c r="N133" s="13">
        <f>IF(L133="","",L133-IF(M133="",0,M133))</f>
        <v/>
      </c>
      <c r="O133" s="29" t="n"/>
      <c r="P133" s="21">
        <f>IF(B133="","",VALUE(LEFT(B133,4)))</f>
        <v/>
      </c>
      <c r="Q133" s="21">
        <f>IF(B133="","",VALUE(MID(B133,6,2)))</f>
        <v/>
      </c>
    </row>
    <row r="134" ht="20" customHeight="1">
      <c r="A134" s="21">
        <f>IF(B134="","",ROW()-3)</f>
        <v/>
      </c>
      <c r="B134" s="29" t="n"/>
      <c r="C134" s="29" t="n"/>
      <c r="D134" s="29" t="n"/>
      <c r="E134" s="29" t="n"/>
      <c r="F134" s="33" t="n"/>
      <c r="G134" s="31" t="n"/>
      <c r="H134" s="17">
        <f>IF(OR(F134="",G134=""),"",F134*G134)</f>
        <v/>
      </c>
      <c r="I134" s="31" t="n"/>
      <c r="J134" s="13">
        <f>IF(OR(G134="",I134=""),"",G134*I134)</f>
        <v/>
      </c>
      <c r="K134" s="31" t="n"/>
      <c r="L134" s="13">
        <f>IF(J134="","",J134-IF(K134="",0,K134))</f>
        <v/>
      </c>
      <c r="M134" s="31" t="n"/>
      <c r="N134" s="13">
        <f>IF(L134="","",L134-IF(M134="",0,M134))</f>
        <v/>
      </c>
      <c r="O134" s="29" t="n"/>
      <c r="P134" s="21">
        <f>IF(B134="","",VALUE(LEFT(B134,4)))</f>
        <v/>
      </c>
      <c r="Q134" s="21">
        <f>IF(B134="","",VALUE(MID(B134,6,2)))</f>
        <v/>
      </c>
    </row>
    <row r="135" ht="20" customHeight="1">
      <c r="A135" s="21">
        <f>IF(B135="","",ROW()-3)</f>
        <v/>
      </c>
      <c r="B135" s="29" t="n"/>
      <c r="C135" s="29" t="n"/>
      <c r="D135" s="29" t="n"/>
      <c r="E135" s="29" t="n"/>
      <c r="F135" s="33" t="n"/>
      <c r="G135" s="31" t="n"/>
      <c r="H135" s="17">
        <f>IF(OR(F135="",G135=""),"",F135*G135)</f>
        <v/>
      </c>
      <c r="I135" s="31" t="n"/>
      <c r="J135" s="13">
        <f>IF(OR(G135="",I135=""),"",G135*I135)</f>
        <v/>
      </c>
      <c r="K135" s="31" t="n"/>
      <c r="L135" s="13">
        <f>IF(J135="","",J135-IF(K135="",0,K135))</f>
        <v/>
      </c>
      <c r="M135" s="31" t="n"/>
      <c r="N135" s="13">
        <f>IF(L135="","",L135-IF(M135="",0,M135))</f>
        <v/>
      </c>
      <c r="O135" s="29" t="n"/>
      <c r="P135" s="21">
        <f>IF(B135="","",VALUE(LEFT(B135,4)))</f>
        <v/>
      </c>
      <c r="Q135" s="21">
        <f>IF(B135="","",VALUE(MID(B135,6,2)))</f>
        <v/>
      </c>
    </row>
    <row r="136" ht="20" customHeight="1">
      <c r="A136" s="21">
        <f>IF(B136="","",ROW()-3)</f>
        <v/>
      </c>
      <c r="B136" s="29" t="n"/>
      <c r="C136" s="29" t="n"/>
      <c r="D136" s="29" t="n"/>
      <c r="E136" s="29" t="n"/>
      <c r="F136" s="33" t="n"/>
      <c r="G136" s="31" t="n"/>
      <c r="H136" s="17">
        <f>IF(OR(F136="",G136=""),"",F136*G136)</f>
        <v/>
      </c>
      <c r="I136" s="31" t="n"/>
      <c r="J136" s="13">
        <f>IF(OR(G136="",I136=""),"",G136*I136)</f>
        <v/>
      </c>
      <c r="K136" s="31" t="n"/>
      <c r="L136" s="13">
        <f>IF(J136="","",J136-IF(K136="",0,K136))</f>
        <v/>
      </c>
      <c r="M136" s="31" t="n"/>
      <c r="N136" s="13">
        <f>IF(L136="","",L136-IF(M136="",0,M136))</f>
        <v/>
      </c>
      <c r="O136" s="29" t="n"/>
      <c r="P136" s="21">
        <f>IF(B136="","",VALUE(LEFT(B136,4)))</f>
        <v/>
      </c>
      <c r="Q136" s="21">
        <f>IF(B136="","",VALUE(MID(B136,6,2)))</f>
        <v/>
      </c>
    </row>
    <row r="137" ht="20" customHeight="1">
      <c r="A137" s="21">
        <f>IF(B137="","",ROW()-3)</f>
        <v/>
      </c>
      <c r="B137" s="29" t="n"/>
      <c r="C137" s="29" t="n"/>
      <c r="D137" s="29" t="n"/>
      <c r="E137" s="29" t="n"/>
      <c r="F137" s="33" t="n"/>
      <c r="G137" s="31" t="n"/>
      <c r="H137" s="17">
        <f>IF(OR(F137="",G137=""),"",F137*G137)</f>
        <v/>
      </c>
      <c r="I137" s="31" t="n"/>
      <c r="J137" s="13">
        <f>IF(OR(G137="",I137=""),"",G137*I137)</f>
        <v/>
      </c>
      <c r="K137" s="31" t="n"/>
      <c r="L137" s="13">
        <f>IF(J137="","",J137-IF(K137="",0,K137))</f>
        <v/>
      </c>
      <c r="M137" s="31" t="n"/>
      <c r="N137" s="13">
        <f>IF(L137="","",L137-IF(M137="",0,M137))</f>
        <v/>
      </c>
      <c r="O137" s="29" t="n"/>
      <c r="P137" s="21">
        <f>IF(B137="","",VALUE(LEFT(B137,4)))</f>
        <v/>
      </c>
      <c r="Q137" s="21">
        <f>IF(B137="","",VALUE(MID(B137,6,2)))</f>
        <v/>
      </c>
    </row>
    <row r="138" ht="20" customHeight="1">
      <c r="A138" s="21">
        <f>IF(B138="","",ROW()-3)</f>
        <v/>
      </c>
      <c r="B138" s="29" t="n"/>
      <c r="C138" s="29" t="n"/>
      <c r="D138" s="29" t="n"/>
      <c r="E138" s="29" t="n"/>
      <c r="F138" s="33" t="n"/>
      <c r="G138" s="31" t="n"/>
      <c r="H138" s="17">
        <f>IF(OR(F138="",G138=""),"",F138*G138)</f>
        <v/>
      </c>
      <c r="I138" s="31" t="n"/>
      <c r="J138" s="13">
        <f>IF(OR(G138="",I138=""),"",G138*I138)</f>
        <v/>
      </c>
      <c r="K138" s="31" t="n"/>
      <c r="L138" s="13">
        <f>IF(J138="","",J138-IF(K138="",0,K138))</f>
        <v/>
      </c>
      <c r="M138" s="31" t="n"/>
      <c r="N138" s="13">
        <f>IF(L138="","",L138-IF(M138="",0,M138))</f>
        <v/>
      </c>
      <c r="O138" s="29" t="n"/>
      <c r="P138" s="21">
        <f>IF(B138="","",VALUE(LEFT(B138,4)))</f>
        <v/>
      </c>
      <c r="Q138" s="21">
        <f>IF(B138="","",VALUE(MID(B138,6,2)))</f>
        <v/>
      </c>
    </row>
    <row r="139" ht="20" customHeight="1">
      <c r="A139" s="21">
        <f>IF(B139="","",ROW()-3)</f>
        <v/>
      </c>
      <c r="B139" s="29" t="n"/>
      <c r="C139" s="29" t="n"/>
      <c r="D139" s="29" t="n"/>
      <c r="E139" s="29" t="n"/>
      <c r="F139" s="33" t="n"/>
      <c r="G139" s="31" t="n"/>
      <c r="H139" s="17">
        <f>IF(OR(F139="",G139=""),"",F139*G139)</f>
        <v/>
      </c>
      <c r="I139" s="31" t="n"/>
      <c r="J139" s="13">
        <f>IF(OR(G139="",I139=""),"",G139*I139)</f>
        <v/>
      </c>
      <c r="K139" s="31" t="n"/>
      <c r="L139" s="13">
        <f>IF(J139="","",J139-IF(K139="",0,K139))</f>
        <v/>
      </c>
      <c r="M139" s="31" t="n"/>
      <c r="N139" s="13">
        <f>IF(L139="","",L139-IF(M139="",0,M139))</f>
        <v/>
      </c>
      <c r="O139" s="29" t="n"/>
      <c r="P139" s="21">
        <f>IF(B139="","",VALUE(LEFT(B139,4)))</f>
        <v/>
      </c>
      <c r="Q139" s="21">
        <f>IF(B139="","",VALUE(MID(B139,6,2)))</f>
        <v/>
      </c>
    </row>
    <row r="140" ht="20" customHeight="1">
      <c r="A140" s="21">
        <f>IF(B140="","",ROW()-3)</f>
        <v/>
      </c>
      <c r="B140" s="29" t="n"/>
      <c r="C140" s="29" t="n"/>
      <c r="D140" s="29" t="n"/>
      <c r="E140" s="29" t="n"/>
      <c r="F140" s="33" t="n"/>
      <c r="G140" s="31" t="n"/>
      <c r="H140" s="17">
        <f>IF(OR(F140="",G140=""),"",F140*G140)</f>
        <v/>
      </c>
      <c r="I140" s="31" t="n"/>
      <c r="J140" s="13">
        <f>IF(OR(G140="",I140=""),"",G140*I140)</f>
        <v/>
      </c>
      <c r="K140" s="31" t="n"/>
      <c r="L140" s="13">
        <f>IF(J140="","",J140-IF(K140="",0,K140))</f>
        <v/>
      </c>
      <c r="M140" s="31" t="n"/>
      <c r="N140" s="13">
        <f>IF(L140="","",L140-IF(M140="",0,M140))</f>
        <v/>
      </c>
      <c r="O140" s="29" t="n"/>
      <c r="P140" s="21">
        <f>IF(B140="","",VALUE(LEFT(B140,4)))</f>
        <v/>
      </c>
      <c r="Q140" s="21">
        <f>IF(B140="","",VALUE(MID(B140,6,2)))</f>
        <v/>
      </c>
    </row>
    <row r="141" ht="20" customHeight="1">
      <c r="A141" s="21">
        <f>IF(B141="","",ROW()-3)</f>
        <v/>
      </c>
      <c r="B141" s="29" t="n"/>
      <c r="C141" s="29" t="n"/>
      <c r="D141" s="29" t="n"/>
      <c r="E141" s="29" t="n"/>
      <c r="F141" s="33" t="n"/>
      <c r="G141" s="31" t="n"/>
      <c r="H141" s="17">
        <f>IF(OR(F141="",G141=""),"",F141*G141)</f>
        <v/>
      </c>
      <c r="I141" s="31" t="n"/>
      <c r="J141" s="13">
        <f>IF(OR(G141="",I141=""),"",G141*I141)</f>
        <v/>
      </c>
      <c r="K141" s="31" t="n"/>
      <c r="L141" s="13">
        <f>IF(J141="","",J141-IF(K141="",0,K141))</f>
        <v/>
      </c>
      <c r="M141" s="31" t="n"/>
      <c r="N141" s="13">
        <f>IF(L141="","",L141-IF(M141="",0,M141))</f>
        <v/>
      </c>
      <c r="O141" s="29" t="n"/>
      <c r="P141" s="21">
        <f>IF(B141="","",VALUE(LEFT(B141,4)))</f>
        <v/>
      </c>
      <c r="Q141" s="21">
        <f>IF(B141="","",VALUE(MID(B141,6,2)))</f>
        <v/>
      </c>
    </row>
    <row r="142" ht="20" customHeight="1">
      <c r="A142" s="21">
        <f>IF(B142="","",ROW()-3)</f>
        <v/>
      </c>
      <c r="B142" s="29" t="n"/>
      <c r="C142" s="29" t="n"/>
      <c r="D142" s="29" t="n"/>
      <c r="E142" s="29" t="n"/>
      <c r="F142" s="33" t="n"/>
      <c r="G142" s="31" t="n"/>
      <c r="H142" s="17">
        <f>IF(OR(F142="",G142=""),"",F142*G142)</f>
        <v/>
      </c>
      <c r="I142" s="31" t="n"/>
      <c r="J142" s="13">
        <f>IF(OR(G142="",I142=""),"",G142*I142)</f>
        <v/>
      </c>
      <c r="K142" s="31" t="n"/>
      <c r="L142" s="13">
        <f>IF(J142="","",J142-IF(K142="",0,K142))</f>
        <v/>
      </c>
      <c r="M142" s="31" t="n"/>
      <c r="N142" s="13">
        <f>IF(L142="","",L142-IF(M142="",0,M142))</f>
        <v/>
      </c>
      <c r="O142" s="29" t="n"/>
      <c r="P142" s="21">
        <f>IF(B142="","",VALUE(LEFT(B142,4)))</f>
        <v/>
      </c>
      <c r="Q142" s="21">
        <f>IF(B142="","",VALUE(MID(B142,6,2)))</f>
        <v/>
      </c>
    </row>
    <row r="143" ht="20" customHeight="1">
      <c r="A143" s="21">
        <f>IF(B143="","",ROW()-3)</f>
        <v/>
      </c>
      <c r="B143" s="29" t="n"/>
      <c r="C143" s="29" t="n"/>
      <c r="D143" s="29" t="n"/>
      <c r="E143" s="29" t="n"/>
      <c r="F143" s="33" t="n"/>
      <c r="G143" s="31" t="n"/>
      <c r="H143" s="17">
        <f>IF(OR(F143="",G143=""),"",F143*G143)</f>
        <v/>
      </c>
      <c r="I143" s="31" t="n"/>
      <c r="J143" s="13">
        <f>IF(OR(G143="",I143=""),"",G143*I143)</f>
        <v/>
      </c>
      <c r="K143" s="31" t="n"/>
      <c r="L143" s="13">
        <f>IF(J143="","",J143-IF(K143="",0,K143))</f>
        <v/>
      </c>
      <c r="M143" s="31" t="n"/>
      <c r="N143" s="13">
        <f>IF(L143="","",L143-IF(M143="",0,M143))</f>
        <v/>
      </c>
      <c r="O143" s="29" t="n"/>
      <c r="P143" s="21">
        <f>IF(B143="","",VALUE(LEFT(B143,4)))</f>
        <v/>
      </c>
      <c r="Q143" s="21">
        <f>IF(B143="","",VALUE(MID(B143,6,2)))</f>
        <v/>
      </c>
    </row>
    <row r="144" ht="20" customHeight="1">
      <c r="A144" s="21">
        <f>IF(B144="","",ROW()-3)</f>
        <v/>
      </c>
      <c r="B144" s="29" t="n"/>
      <c r="C144" s="29" t="n"/>
      <c r="D144" s="29" t="n"/>
      <c r="E144" s="29" t="n"/>
      <c r="F144" s="33" t="n"/>
      <c r="G144" s="31" t="n"/>
      <c r="H144" s="17">
        <f>IF(OR(F144="",G144=""),"",F144*G144)</f>
        <v/>
      </c>
      <c r="I144" s="31" t="n"/>
      <c r="J144" s="13">
        <f>IF(OR(G144="",I144=""),"",G144*I144)</f>
        <v/>
      </c>
      <c r="K144" s="31" t="n"/>
      <c r="L144" s="13">
        <f>IF(J144="","",J144-IF(K144="",0,K144))</f>
        <v/>
      </c>
      <c r="M144" s="31" t="n"/>
      <c r="N144" s="13">
        <f>IF(L144="","",L144-IF(M144="",0,M144))</f>
        <v/>
      </c>
      <c r="O144" s="29" t="n"/>
      <c r="P144" s="21">
        <f>IF(B144="","",VALUE(LEFT(B144,4)))</f>
        <v/>
      </c>
      <c r="Q144" s="21">
        <f>IF(B144="","",VALUE(MID(B144,6,2)))</f>
        <v/>
      </c>
    </row>
    <row r="145" ht="20" customHeight="1">
      <c r="A145" s="21">
        <f>IF(B145="","",ROW()-3)</f>
        <v/>
      </c>
      <c r="B145" s="29" t="n"/>
      <c r="C145" s="29" t="n"/>
      <c r="D145" s="29" t="n"/>
      <c r="E145" s="29" t="n"/>
      <c r="F145" s="33" t="n"/>
      <c r="G145" s="31" t="n"/>
      <c r="H145" s="17">
        <f>IF(OR(F145="",G145=""),"",F145*G145)</f>
        <v/>
      </c>
      <c r="I145" s="31" t="n"/>
      <c r="J145" s="13">
        <f>IF(OR(G145="",I145=""),"",G145*I145)</f>
        <v/>
      </c>
      <c r="K145" s="31" t="n"/>
      <c r="L145" s="13">
        <f>IF(J145="","",J145-IF(K145="",0,K145))</f>
        <v/>
      </c>
      <c r="M145" s="31" t="n"/>
      <c r="N145" s="13">
        <f>IF(L145="","",L145-IF(M145="",0,M145))</f>
        <v/>
      </c>
      <c r="O145" s="29" t="n"/>
      <c r="P145" s="21">
        <f>IF(B145="","",VALUE(LEFT(B145,4)))</f>
        <v/>
      </c>
      <c r="Q145" s="21">
        <f>IF(B145="","",VALUE(MID(B145,6,2)))</f>
        <v/>
      </c>
    </row>
    <row r="146" ht="20" customHeight="1">
      <c r="A146" s="21">
        <f>IF(B146="","",ROW()-3)</f>
        <v/>
      </c>
      <c r="B146" s="29" t="n"/>
      <c r="C146" s="29" t="n"/>
      <c r="D146" s="29" t="n"/>
      <c r="E146" s="29" t="n"/>
      <c r="F146" s="33" t="n"/>
      <c r="G146" s="31" t="n"/>
      <c r="H146" s="17">
        <f>IF(OR(F146="",G146=""),"",F146*G146)</f>
        <v/>
      </c>
      <c r="I146" s="31" t="n"/>
      <c r="J146" s="13">
        <f>IF(OR(G146="",I146=""),"",G146*I146)</f>
        <v/>
      </c>
      <c r="K146" s="31" t="n"/>
      <c r="L146" s="13">
        <f>IF(J146="","",J146-IF(K146="",0,K146))</f>
        <v/>
      </c>
      <c r="M146" s="31" t="n"/>
      <c r="N146" s="13">
        <f>IF(L146="","",L146-IF(M146="",0,M146))</f>
        <v/>
      </c>
      <c r="O146" s="29" t="n"/>
      <c r="P146" s="21">
        <f>IF(B146="","",VALUE(LEFT(B146,4)))</f>
        <v/>
      </c>
      <c r="Q146" s="21">
        <f>IF(B146="","",VALUE(MID(B146,6,2)))</f>
        <v/>
      </c>
    </row>
    <row r="147" ht="20" customHeight="1">
      <c r="A147" s="21">
        <f>IF(B147="","",ROW()-3)</f>
        <v/>
      </c>
      <c r="B147" s="29" t="n"/>
      <c r="C147" s="29" t="n"/>
      <c r="D147" s="29" t="n"/>
      <c r="E147" s="29" t="n"/>
      <c r="F147" s="33" t="n"/>
      <c r="G147" s="31" t="n"/>
      <c r="H147" s="17">
        <f>IF(OR(F147="",G147=""),"",F147*G147)</f>
        <v/>
      </c>
      <c r="I147" s="31" t="n"/>
      <c r="J147" s="13">
        <f>IF(OR(G147="",I147=""),"",G147*I147)</f>
        <v/>
      </c>
      <c r="K147" s="31" t="n"/>
      <c r="L147" s="13">
        <f>IF(J147="","",J147-IF(K147="",0,K147))</f>
        <v/>
      </c>
      <c r="M147" s="31" t="n"/>
      <c r="N147" s="13">
        <f>IF(L147="","",L147-IF(M147="",0,M147))</f>
        <v/>
      </c>
      <c r="O147" s="29" t="n"/>
      <c r="P147" s="21">
        <f>IF(B147="","",VALUE(LEFT(B147,4)))</f>
        <v/>
      </c>
      <c r="Q147" s="21">
        <f>IF(B147="","",VALUE(MID(B147,6,2)))</f>
        <v/>
      </c>
    </row>
    <row r="148" ht="20" customHeight="1">
      <c r="A148" s="21">
        <f>IF(B148="","",ROW()-3)</f>
        <v/>
      </c>
      <c r="B148" s="29" t="n"/>
      <c r="C148" s="29" t="n"/>
      <c r="D148" s="29" t="n"/>
      <c r="E148" s="29" t="n"/>
      <c r="F148" s="33" t="n"/>
      <c r="G148" s="31" t="n"/>
      <c r="H148" s="17">
        <f>IF(OR(F148="",G148=""),"",F148*G148)</f>
        <v/>
      </c>
      <c r="I148" s="31" t="n"/>
      <c r="J148" s="13">
        <f>IF(OR(G148="",I148=""),"",G148*I148)</f>
        <v/>
      </c>
      <c r="K148" s="31" t="n"/>
      <c r="L148" s="13">
        <f>IF(J148="","",J148-IF(K148="",0,K148))</f>
        <v/>
      </c>
      <c r="M148" s="31" t="n"/>
      <c r="N148" s="13">
        <f>IF(L148="","",L148-IF(M148="",0,M148))</f>
        <v/>
      </c>
      <c r="O148" s="29" t="n"/>
      <c r="P148" s="21">
        <f>IF(B148="","",VALUE(LEFT(B148,4)))</f>
        <v/>
      </c>
      <c r="Q148" s="21">
        <f>IF(B148="","",VALUE(MID(B148,6,2)))</f>
        <v/>
      </c>
    </row>
    <row r="149" ht="20" customHeight="1">
      <c r="A149" s="21">
        <f>IF(B149="","",ROW()-3)</f>
        <v/>
      </c>
      <c r="B149" s="29" t="n"/>
      <c r="C149" s="29" t="n"/>
      <c r="D149" s="29" t="n"/>
      <c r="E149" s="29" t="n"/>
      <c r="F149" s="33" t="n"/>
      <c r="G149" s="31" t="n"/>
      <c r="H149" s="17">
        <f>IF(OR(F149="",G149=""),"",F149*G149)</f>
        <v/>
      </c>
      <c r="I149" s="31" t="n"/>
      <c r="J149" s="13">
        <f>IF(OR(G149="",I149=""),"",G149*I149)</f>
        <v/>
      </c>
      <c r="K149" s="31" t="n"/>
      <c r="L149" s="13">
        <f>IF(J149="","",J149-IF(K149="",0,K149))</f>
        <v/>
      </c>
      <c r="M149" s="31" t="n"/>
      <c r="N149" s="13">
        <f>IF(L149="","",L149-IF(M149="",0,M149))</f>
        <v/>
      </c>
      <c r="O149" s="29" t="n"/>
      <c r="P149" s="21">
        <f>IF(B149="","",VALUE(LEFT(B149,4)))</f>
        <v/>
      </c>
      <c r="Q149" s="21">
        <f>IF(B149="","",VALUE(MID(B149,6,2)))</f>
        <v/>
      </c>
    </row>
    <row r="150" ht="20" customHeight="1">
      <c r="A150" s="21">
        <f>IF(B150="","",ROW()-3)</f>
        <v/>
      </c>
      <c r="B150" s="29" t="n"/>
      <c r="C150" s="29" t="n"/>
      <c r="D150" s="29" t="n"/>
      <c r="E150" s="29" t="n"/>
      <c r="F150" s="33" t="n"/>
      <c r="G150" s="31" t="n"/>
      <c r="H150" s="17">
        <f>IF(OR(F150="",G150=""),"",F150*G150)</f>
        <v/>
      </c>
      <c r="I150" s="31" t="n"/>
      <c r="J150" s="13">
        <f>IF(OR(G150="",I150=""),"",G150*I150)</f>
        <v/>
      </c>
      <c r="K150" s="31" t="n"/>
      <c r="L150" s="13">
        <f>IF(J150="","",J150-IF(K150="",0,K150))</f>
        <v/>
      </c>
      <c r="M150" s="31" t="n"/>
      <c r="N150" s="13">
        <f>IF(L150="","",L150-IF(M150="",0,M150))</f>
        <v/>
      </c>
      <c r="O150" s="29" t="n"/>
      <c r="P150" s="21">
        <f>IF(B150="","",VALUE(LEFT(B150,4)))</f>
        <v/>
      </c>
      <c r="Q150" s="21">
        <f>IF(B150="","",VALUE(MID(B150,6,2)))</f>
        <v/>
      </c>
    </row>
    <row r="151" ht="20" customHeight="1">
      <c r="A151" s="21">
        <f>IF(B151="","",ROW()-3)</f>
        <v/>
      </c>
      <c r="B151" s="29" t="n"/>
      <c r="C151" s="29" t="n"/>
      <c r="D151" s="29" t="n"/>
      <c r="E151" s="29" t="n"/>
      <c r="F151" s="33" t="n"/>
      <c r="G151" s="31" t="n"/>
      <c r="H151" s="17">
        <f>IF(OR(F151="",G151=""),"",F151*G151)</f>
        <v/>
      </c>
      <c r="I151" s="31" t="n"/>
      <c r="J151" s="13">
        <f>IF(OR(G151="",I151=""),"",G151*I151)</f>
        <v/>
      </c>
      <c r="K151" s="31" t="n"/>
      <c r="L151" s="13">
        <f>IF(J151="","",J151-IF(K151="",0,K151))</f>
        <v/>
      </c>
      <c r="M151" s="31" t="n"/>
      <c r="N151" s="13">
        <f>IF(L151="","",L151-IF(M151="",0,M151))</f>
        <v/>
      </c>
      <c r="O151" s="29" t="n"/>
      <c r="P151" s="21">
        <f>IF(B151="","",VALUE(LEFT(B151,4)))</f>
        <v/>
      </c>
      <c r="Q151" s="21">
        <f>IF(B151="","",VALUE(MID(B151,6,2)))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Q151"/>
  <mergeCells count="2">
    <mergeCell ref="A2:N2"/>
    <mergeCell ref="A1:N1"/>
  </mergeCells>
  <conditionalFormatting sqref="N4:N151">
    <cfRule type="cellIs" priority="1" operator="greaterThan" dxfId="8">
      <formula>0</formula>
    </cfRule>
    <cfRule type="cellIs" priority="2" operator="equal" dxfId="7">
      <formula>0</formula>
    </cfRule>
  </conditionalFormatting>
  <dataValidations count="6">
    <dataValidation sqref="B4:B151" showDropDown="0" showInputMessage="0" showErrorMessage="0" allowBlank="1" error="تاریخ را مثل 1405/06/18 وارد کنید" type="custom">
      <formula1>AND(LEN(B4)=10,MID(B4,5,1)="/",MID(B4,8,1)="/")</formula1>
    </dataValidation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=CustomerNames</formula1>
    </dataValidation>
    <dataValidation sqref="D4:D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=CityList</formula1>
    </dataValidation>
    <dataValidation sqref="E4:E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=ProductsList</formula1>
    </dataValidation>
    <dataValidation sqref="F4:F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=PacksList</formula1>
    </dataValidation>
    <dataValidation sqref="O4:O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=StaffList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N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0" customWidth="1" min="10" max="10"/>
    <col width="12" customWidth="1" min="11" max="11"/>
    <col width="36" customWidth="1" min="12" max="12"/>
  </cols>
  <sheetData>
    <row r="1" ht="28" customHeight="1">
      <c r="A1" s="1" t="inlineStr">
        <is>
          <t>دفتر مشتریان</t>
        </is>
      </c>
    </row>
    <row r="2" ht="20" customHeight="1">
      <c r="A2" s="22" t="inlineStr">
        <is>
          <t>نام و مشخصات را وارد کنید. آخرین خرید، مجموع خرید و دسته A/B/C از روی برگه فروش خودکار پر می‌شود.</t>
        </is>
      </c>
    </row>
    <row r="3" ht="28" customHeight="1">
      <c r="A3" s="3" t="inlineStr">
        <is>
          <t>نام مشتری</t>
        </is>
      </c>
      <c r="B3" s="3" t="inlineStr">
        <is>
          <t>شماره تماس</t>
        </is>
      </c>
      <c r="C3" s="3" t="inlineStr">
        <is>
          <t>شهر</t>
        </is>
      </c>
      <c r="D3" s="3" t="inlineStr">
        <is>
          <t>آدرس</t>
        </is>
      </c>
      <c r="E3" s="3" t="inlineStr">
        <is>
          <t>نوع مشتری</t>
        </is>
      </c>
      <c r="F3" s="3" t="inlineStr">
        <is>
          <t>آخرین ویزیت</t>
        </is>
      </c>
      <c r="G3" s="3" t="inlineStr">
        <is>
          <t>اولین خرید</t>
        </is>
      </c>
      <c r="H3" s="3" t="inlineStr">
        <is>
          <t>آخرین خرید</t>
        </is>
      </c>
      <c r="I3" s="3" t="inlineStr">
        <is>
          <t>مجموع خرید (تومان)</t>
        </is>
      </c>
      <c r="J3" s="3" t="inlineStr">
        <is>
          <t>دسته</t>
        </is>
      </c>
      <c r="K3" s="3" t="inlineStr">
        <is>
          <t>وضعیت</t>
        </is>
      </c>
      <c r="L3" s="3" t="inlineStr">
        <is>
          <t>توضیحات</t>
        </is>
      </c>
    </row>
    <row r="4" ht="20" customHeight="1">
      <c r="A4" s="29" t="inlineStr">
        <is>
          <t>سوپرمارکت رضایی</t>
        </is>
      </c>
      <c r="B4" s="29" t="inlineStr">
        <is>
          <t>0916-111-2201</t>
        </is>
      </c>
      <c r="C4" s="29" t="inlineStr">
        <is>
          <t>پلدختر</t>
        </is>
      </c>
      <c r="D4" s="29" t="inlineStr">
        <is>
          <t>خیابان امام، پلاک ۱۲</t>
        </is>
      </c>
      <c r="E4" s="29" t="inlineStr">
        <is>
          <t>سوپرمارکت</t>
        </is>
      </c>
      <c r="F4" s="29" t="inlineStr">
        <is>
          <t>1405/06/04</t>
        </is>
      </c>
      <c r="G4" s="14">
        <f>IF(A4="","",IFERROR(MINIFS(Sales!$B$4:$B$151,Sales!$C$4:$C$151,A4),"—"))</f>
        <v/>
      </c>
      <c r="H4" s="14">
        <f>IF(A4="","",IFERROR(MAXIFS(Sales!$B$4:$B$151,Sales!$C$4:$C$151,A4),"—"))</f>
        <v/>
      </c>
      <c r="I4" s="13">
        <f>IF(A4="","",SUMIF(Sales!$C$4:$C$151,A4,Sales!$L$4:$L$151))</f>
        <v/>
      </c>
      <c r="J4" s="14">
        <f>IF(OR(A4="",I4=""),"",IF(I4&gt;=تنظیمات!$B$10,"A",IF(I4&gt;=تنظیمات!$B$11,"B","C")))</f>
        <v/>
      </c>
      <c r="K4" s="29" t="inlineStr">
        <is>
          <t>فعال</t>
        </is>
      </c>
      <c r="L4" s="29" t="inlineStr">
        <is>
          <t>مشتری ثابت هفتگی</t>
        </is>
      </c>
    </row>
    <row r="5" ht="20" customHeight="1">
      <c r="A5" s="29" t="inlineStr">
        <is>
          <t>خواربار محمدی</t>
        </is>
      </c>
      <c r="B5" s="29" t="inlineStr">
        <is>
          <t>0916-222-3302</t>
        </is>
      </c>
      <c r="C5" s="29" t="inlineStr">
        <is>
          <t>پلدختر</t>
        </is>
      </c>
      <c r="D5" s="29" t="inlineStr">
        <is>
          <t>بازار روز، دهنه ۳</t>
        </is>
      </c>
      <c r="E5" s="29" t="inlineStr">
        <is>
          <t>خرده‌فروش</t>
        </is>
      </c>
      <c r="F5" s="29" t="inlineStr">
        <is>
          <t>1405/06/17</t>
        </is>
      </c>
      <c r="G5" s="14">
        <f>IF(A5="","",IFERROR(MINIFS(Sales!$B$4:$B$151,Sales!$C$4:$C$151,A5),"—"))</f>
        <v/>
      </c>
      <c r="H5" s="14">
        <f>IF(A5="","",IFERROR(MAXIFS(Sales!$B$4:$B$151,Sales!$C$4:$C$151,A5),"—"))</f>
        <v/>
      </c>
      <c r="I5" s="13">
        <f>IF(A5="","",SUMIF(Sales!$C$4:$C$151,A5,Sales!$L$4:$L$151))</f>
        <v/>
      </c>
      <c r="J5" s="14">
        <f>IF(OR(A5="",I5=""),"",IF(I5&gt;=تنظیمات!$B$10,"A",IF(I5&gt;=تنظیمات!$B$11,"B","C")))</f>
        <v/>
      </c>
      <c r="K5" s="29" t="inlineStr">
        <is>
          <t>فعال</t>
        </is>
      </c>
      <c r="L5" s="29" t="inlineStr"/>
    </row>
    <row r="6" ht="20" customHeight="1">
      <c r="A6" s="29" t="inlineStr">
        <is>
          <t>فروشگاه رفاه خرم‌آباد</t>
        </is>
      </c>
      <c r="B6" s="29" t="inlineStr">
        <is>
          <t>0916-333-4403</t>
        </is>
      </c>
      <c r="C6" s="29" t="inlineStr">
        <is>
          <t>خرم‌آباد</t>
        </is>
      </c>
      <c r="D6" s="29" t="inlineStr">
        <is>
          <t>بلوار شریعتی</t>
        </is>
      </c>
      <c r="E6" s="29" t="inlineStr">
        <is>
          <t>سوپرمارکت</t>
        </is>
      </c>
      <c r="F6" s="29" t="inlineStr">
        <is>
          <t>1405/06/15</t>
        </is>
      </c>
      <c r="G6" s="14">
        <f>IF(A6="","",IFERROR(MINIFS(Sales!$B$4:$B$151,Sales!$C$4:$C$151,A6),"—"))</f>
        <v/>
      </c>
      <c r="H6" s="14">
        <f>IF(A6="","",IFERROR(MAXIFS(Sales!$B$4:$B$151,Sales!$C$4:$C$151,A6),"—"))</f>
        <v/>
      </c>
      <c r="I6" s="13">
        <f>IF(A6="","",SUMIF(Sales!$C$4:$C$151,A6,Sales!$L$4:$L$151))</f>
        <v/>
      </c>
      <c r="J6" s="14">
        <f>IF(OR(A6="",I6=""),"",IF(I6&gt;=تنظیمات!$B$10,"A",IF(I6&gt;=تنظیمات!$B$11,"B","C")))</f>
        <v/>
      </c>
      <c r="K6" s="29" t="inlineStr">
        <is>
          <t>فعال</t>
        </is>
      </c>
      <c r="L6" s="29" t="inlineStr">
        <is>
          <t>سفارش عمده</t>
        </is>
      </c>
    </row>
    <row r="7" ht="20" customHeight="1">
      <c r="A7" s="29" t="inlineStr">
        <is>
          <t>عمده‌فروشی حسینی</t>
        </is>
      </c>
      <c r="B7" s="29" t="inlineStr">
        <is>
          <t>0916-444-5504</t>
        </is>
      </c>
      <c r="C7" s="29" t="inlineStr">
        <is>
          <t>کوهدشت</t>
        </is>
      </c>
      <c r="D7" s="29" t="inlineStr">
        <is>
          <t>جاده پلدختر</t>
        </is>
      </c>
      <c r="E7" s="29" t="inlineStr">
        <is>
          <t>عمده‌فروش</t>
        </is>
      </c>
      <c r="F7" s="29" t="inlineStr">
        <is>
          <t>1405/06/13</t>
        </is>
      </c>
      <c r="G7" s="14">
        <f>IF(A7="","",IFERROR(MINIFS(Sales!$B$4:$B$151,Sales!$C$4:$C$151,A7),"—"))</f>
        <v/>
      </c>
      <c r="H7" s="14">
        <f>IF(A7="","",IFERROR(MAXIFS(Sales!$B$4:$B$151,Sales!$C$4:$C$151,A7),"—"))</f>
        <v/>
      </c>
      <c r="I7" s="13">
        <f>IF(A7="","",SUMIF(Sales!$C$4:$C$151,A7,Sales!$L$4:$L$151))</f>
        <v/>
      </c>
      <c r="J7" s="14">
        <f>IF(OR(A7="",I7=""),"",IF(I7&gt;=تنظیمات!$B$10,"A",IF(I7&gt;=تنظیمات!$B$11,"B","C")))</f>
        <v/>
      </c>
      <c r="K7" s="29" t="inlineStr">
        <is>
          <t>فعال</t>
        </is>
      </c>
      <c r="L7" s="29" t="inlineStr">
        <is>
          <t>پرداخت نسیه — پیگیری وصول</t>
        </is>
      </c>
    </row>
    <row r="8" ht="20" customHeight="1">
      <c r="A8" s="29" t="inlineStr">
        <is>
          <t>مغازه میدان</t>
        </is>
      </c>
      <c r="B8" s="29" t="inlineStr">
        <is>
          <t>0916-555-6605</t>
        </is>
      </c>
      <c r="C8" s="29" t="inlineStr">
        <is>
          <t>پلدختر</t>
        </is>
      </c>
      <c r="D8" s="29" t="inlineStr">
        <is>
          <t>میدان مرکزی</t>
        </is>
      </c>
      <c r="E8" s="29" t="inlineStr">
        <is>
          <t>خرده‌فروش</t>
        </is>
      </c>
      <c r="F8" s="29" t="inlineStr">
        <is>
          <t>1405/06/17</t>
        </is>
      </c>
      <c r="G8" s="14">
        <f>IF(A8="","",IFERROR(MINIFS(Sales!$B$4:$B$151,Sales!$C$4:$C$151,A8),"—"))</f>
        <v/>
      </c>
      <c r="H8" s="14">
        <f>IF(A8="","",IFERROR(MAXIFS(Sales!$B$4:$B$151,Sales!$C$4:$C$151,A8),"—"))</f>
        <v/>
      </c>
      <c r="I8" s="13">
        <f>IF(A8="","",SUMIF(Sales!$C$4:$C$151,A8,Sales!$L$4:$L$151))</f>
        <v/>
      </c>
      <c r="J8" s="14">
        <f>IF(OR(A8="",I8=""),"",IF(I8&gt;=تنظیمات!$B$10,"A",IF(I8&gt;=تنظیمات!$B$11,"B","C")))</f>
        <v/>
      </c>
      <c r="K8" s="29" t="inlineStr">
        <is>
          <t>فعال</t>
        </is>
      </c>
      <c r="L8" s="29" t="inlineStr"/>
    </row>
    <row r="9" ht="20" customHeight="1">
      <c r="A9" s="29" t="inlineStr">
        <is>
          <t>رستوران زاگرس</t>
        </is>
      </c>
      <c r="B9" s="29" t="inlineStr">
        <is>
          <t>0916-666-7706</t>
        </is>
      </c>
      <c r="C9" s="29" t="inlineStr">
        <is>
          <t>خرم‌آباد</t>
        </is>
      </c>
      <c r="D9" s="29" t="inlineStr">
        <is>
          <t>بلوار ولایت</t>
        </is>
      </c>
      <c r="E9" s="29" t="inlineStr">
        <is>
          <t>رستوران</t>
        </is>
      </c>
      <c r="F9" s="29" t="inlineStr">
        <is>
          <t>1405/06/09</t>
        </is>
      </c>
      <c r="G9" s="14">
        <f>IF(A9="","",IFERROR(MINIFS(Sales!$B$4:$B$151,Sales!$C$4:$C$151,A9),"—"))</f>
        <v/>
      </c>
      <c r="H9" s="14">
        <f>IF(A9="","",IFERROR(MAXIFS(Sales!$B$4:$B$151,Sales!$C$4:$C$151,A9),"—"))</f>
        <v/>
      </c>
      <c r="I9" s="13">
        <f>IF(A9="","",SUMIF(Sales!$C$4:$C$151,A9,Sales!$L$4:$L$151))</f>
        <v/>
      </c>
      <c r="J9" s="14">
        <f>IF(OR(A9="",I9=""),"",IF(I9&gt;=تنظیمات!$B$10,"A",IF(I9&gt;=تنظیمات!$B$11,"B","C")))</f>
        <v/>
      </c>
      <c r="K9" s="29" t="inlineStr">
        <is>
          <t>فعال</t>
        </is>
      </c>
      <c r="L9" s="29" t="inlineStr">
        <is>
          <t>مشتری جدید — هنوز وصول نشده</t>
        </is>
      </c>
    </row>
    <row r="10" ht="20" customHeight="1">
      <c r="A10" s="29" t="inlineStr">
        <is>
          <t>سوپر ستاره معمولان</t>
        </is>
      </c>
      <c r="B10" s="29" t="inlineStr">
        <is>
          <t>0916-777-8807</t>
        </is>
      </c>
      <c r="C10" s="29" t="inlineStr">
        <is>
          <t>معمولان</t>
        </is>
      </c>
      <c r="D10" s="29" t="inlineStr">
        <is>
          <t>خیابان اصلی</t>
        </is>
      </c>
      <c r="E10" s="29" t="inlineStr">
        <is>
          <t>سوپرمارکت</t>
        </is>
      </c>
      <c r="F10" s="29" t="inlineStr">
        <is>
          <t>1405/06/18</t>
        </is>
      </c>
      <c r="G10" s="14">
        <f>IF(A10="","",IFERROR(MINIFS(Sales!$B$4:$B$151,Sales!$C$4:$C$151,A10),"—"))</f>
        <v/>
      </c>
      <c r="H10" s="14">
        <f>IF(A10="","",IFERROR(MAXIFS(Sales!$B$4:$B$151,Sales!$C$4:$C$151,A10),"—"))</f>
        <v/>
      </c>
      <c r="I10" s="13">
        <f>IF(A10="","",SUMIF(Sales!$C$4:$C$151,A10,Sales!$L$4:$L$151))</f>
        <v/>
      </c>
      <c r="J10" s="14">
        <f>IF(OR(A10="",I10=""),"",IF(I10&gt;=تنظیمات!$B$10,"A",IF(I10&gt;=تنظیمات!$B$11,"B","C")))</f>
        <v/>
      </c>
      <c r="K10" s="29" t="inlineStr">
        <is>
          <t>فعال</t>
        </is>
      </c>
      <c r="L10" s="29" t="inlineStr">
        <is>
          <t>مشتری جدید</t>
        </is>
      </c>
    </row>
    <row r="11" ht="20" customHeight="1">
      <c r="A11" s="29" t="inlineStr">
        <is>
          <t>تعاونی مصرف فرهنگیان</t>
        </is>
      </c>
      <c r="B11" s="29" t="inlineStr">
        <is>
          <t>0916-888-9908</t>
        </is>
      </c>
      <c r="C11" s="29" t="inlineStr">
        <is>
          <t>پلدختر</t>
        </is>
      </c>
      <c r="D11" s="29" t="inlineStr">
        <is>
          <t>نزدیک آموزش و پرورش</t>
        </is>
      </c>
      <c r="E11" s="29" t="inlineStr">
        <is>
          <t>خرده‌فروش</t>
        </is>
      </c>
      <c r="F11" s="29" t="inlineStr">
        <is>
          <t>1405/06/11</t>
        </is>
      </c>
      <c r="G11" s="14">
        <f>IF(A11="","",IFERROR(MINIFS(Sales!$B$4:$B$151,Sales!$C$4:$C$151,A11),"—"))</f>
        <v/>
      </c>
      <c r="H11" s="14">
        <f>IF(A11="","",IFERROR(MAXIFS(Sales!$B$4:$B$151,Sales!$C$4:$C$151,A11),"—"))</f>
        <v/>
      </c>
      <c r="I11" s="13">
        <f>IF(A11="","",SUMIF(Sales!$C$4:$C$151,A11,Sales!$L$4:$L$151))</f>
        <v/>
      </c>
      <c r="J11" s="14">
        <f>IF(OR(A11="",I11=""),"",IF(I11&gt;=تنظیمات!$B$10,"A",IF(I11&gt;=تنظیمات!$B$11,"B","C")))</f>
        <v/>
      </c>
      <c r="K11" s="29" t="inlineStr">
        <is>
          <t>فعال</t>
        </is>
      </c>
      <c r="L11" s="29" t="inlineStr"/>
    </row>
    <row r="12" ht="20" customHeight="1">
      <c r="A12" s="29" t="inlineStr">
        <is>
          <t>خواربار احمدی رومشکان</t>
        </is>
      </c>
      <c r="B12" s="29" t="inlineStr">
        <is>
          <t>0916-999-1010</t>
        </is>
      </c>
      <c r="C12" s="29" t="inlineStr">
        <is>
          <t>رومشکان</t>
        </is>
      </c>
      <c r="D12" s="29" t="inlineStr">
        <is>
          <t>بازار رومشکان</t>
        </is>
      </c>
      <c r="E12" s="29" t="inlineStr">
        <is>
          <t>خرده‌فروش</t>
        </is>
      </c>
      <c r="F12" s="29" t="inlineStr">
        <is>
          <t>1405/06/12</t>
        </is>
      </c>
      <c r="G12" s="14">
        <f>IF(A12="","",IFERROR(MINIFS(Sales!$B$4:$B$151,Sales!$C$4:$C$151,A12),"—"))</f>
        <v/>
      </c>
      <c r="H12" s="14">
        <f>IF(A12="","",IFERROR(MAXIFS(Sales!$B$4:$B$151,Sales!$C$4:$C$151,A12),"—"))</f>
        <v/>
      </c>
      <c r="I12" s="13">
        <f>IF(A12="","",SUMIF(Sales!$C$4:$C$151,A12,Sales!$L$4:$L$151))</f>
        <v/>
      </c>
      <c r="J12" s="14">
        <f>IF(OR(A12="",I12=""),"",IF(I12&gt;=تنظیمات!$B$10,"A",IF(I12&gt;=تنظیمات!$B$11,"B","C")))</f>
        <v/>
      </c>
      <c r="K12" s="29" t="inlineStr">
        <is>
          <t>فعال</t>
        </is>
      </c>
      <c r="L12" s="29" t="inlineStr">
        <is>
          <t>مشتری جدید</t>
        </is>
      </c>
    </row>
    <row r="13" ht="20" customHeight="1">
      <c r="A13" s="29" t="inlineStr">
        <is>
          <t>پخش مواد غذایی کرمی</t>
        </is>
      </c>
      <c r="B13" s="29" t="inlineStr">
        <is>
          <t>0916-101-1212</t>
        </is>
      </c>
      <c r="C13" s="29" t="inlineStr">
        <is>
          <t>اندیمشک</t>
        </is>
      </c>
      <c r="D13" s="29" t="inlineStr">
        <is>
          <t>جاده اندیمشک</t>
        </is>
      </c>
      <c r="E13" s="29" t="inlineStr">
        <is>
          <t>عمده‌فروش</t>
        </is>
      </c>
      <c r="F13" s="29" t="inlineStr">
        <is>
          <t>1405/06/16</t>
        </is>
      </c>
      <c r="G13" s="14">
        <f>IF(A13="","",IFERROR(MINIFS(Sales!$B$4:$B$151,Sales!$C$4:$C$151,A13),"—"))</f>
        <v/>
      </c>
      <c r="H13" s="14">
        <f>IF(A13="","",IFERROR(MAXIFS(Sales!$B$4:$B$151,Sales!$C$4:$C$151,A13),"—"))</f>
        <v/>
      </c>
      <c r="I13" s="13">
        <f>IF(A13="","",SUMIF(Sales!$C$4:$C$151,A13,Sales!$L$4:$L$151))</f>
        <v/>
      </c>
      <c r="J13" s="14">
        <f>IF(OR(A13="",I13=""),"",IF(I13&gt;=تنظیمات!$B$10,"A",IF(I13&gt;=تنظیمات!$B$11,"B","C")))</f>
        <v/>
      </c>
      <c r="K13" s="29" t="inlineStr">
        <is>
          <t>فعال</t>
        </is>
      </c>
      <c r="L13" s="29" t="inlineStr">
        <is>
          <t>مسیر جدید ویزیت</t>
        </is>
      </c>
    </row>
    <row r="14" ht="20" customHeight="1">
      <c r="A14" s="29" t="inlineStr">
        <is>
          <t>سوپر امید کوهدشت</t>
        </is>
      </c>
      <c r="B14" s="29" t="inlineStr">
        <is>
          <t>0916-131-1414</t>
        </is>
      </c>
      <c r="C14" s="29" t="inlineStr">
        <is>
          <t>کوهدشت</t>
        </is>
      </c>
      <c r="D14" s="29" t="inlineStr">
        <is>
          <t>فلکه مرکزی</t>
        </is>
      </c>
      <c r="E14" s="29" t="inlineStr">
        <is>
          <t>سوپرمارکت</t>
        </is>
      </c>
      <c r="F14" s="29" t="inlineStr">
        <is>
          <t>1405/05/10</t>
        </is>
      </c>
      <c r="G14" s="14">
        <f>IF(A14="","",IFERROR(MINIFS(Sales!$B$4:$B$151,Sales!$C$4:$C$151,A14),"—"))</f>
        <v/>
      </c>
      <c r="H14" s="14">
        <f>IF(A14="","",IFERROR(MAXIFS(Sales!$B$4:$B$151,Sales!$C$4:$C$151,A14),"—"))</f>
        <v/>
      </c>
      <c r="I14" s="13">
        <f>IF(A14="","",SUMIF(Sales!$C$4:$C$151,A14,Sales!$L$4:$L$151))</f>
        <v/>
      </c>
      <c r="J14" s="14">
        <f>IF(OR(A14="",I14=""),"",IF(I14&gt;=تنظیمات!$B$10,"A",IF(I14&gt;=تنظیمات!$B$11,"B","C")))</f>
        <v/>
      </c>
      <c r="K14" s="29" t="inlineStr">
        <is>
          <t>بالقوه</t>
        </is>
      </c>
      <c r="L14" s="29" t="inlineStr">
        <is>
          <t>ویزیت شده، هنوز خرید نکرده</t>
        </is>
      </c>
    </row>
    <row r="15" ht="20" customHeight="1">
      <c r="A15" s="29" t="inlineStr">
        <is>
          <t>خواربار روستایی چم مهر</t>
        </is>
      </c>
      <c r="B15" s="29" t="inlineStr">
        <is>
          <t>0916-151-1616</t>
        </is>
      </c>
      <c r="C15" s="29" t="inlineStr">
        <is>
          <t>پلدختر</t>
        </is>
      </c>
      <c r="D15" s="29" t="inlineStr">
        <is>
          <t>چم مهر</t>
        </is>
      </c>
      <c r="E15" s="29" t="inlineStr">
        <is>
          <t>خرده‌فروش</t>
        </is>
      </c>
      <c r="F15" s="29" t="inlineStr"/>
      <c r="G15" s="14">
        <f>IF(A15="","",IFERROR(MINIFS(Sales!$B$4:$B$151,Sales!$C$4:$C$151,A15),"—"))</f>
        <v/>
      </c>
      <c r="H15" s="14">
        <f>IF(A15="","",IFERROR(MAXIFS(Sales!$B$4:$B$151,Sales!$C$4:$C$151,A15),"—"))</f>
        <v/>
      </c>
      <c r="I15" s="13">
        <f>IF(A15="","",SUMIF(Sales!$C$4:$C$151,A15,Sales!$L$4:$L$151))</f>
        <v/>
      </c>
      <c r="J15" s="14">
        <f>IF(OR(A15="",I15=""),"",IF(I15&gt;=تنظیمات!$B$10,"A",IF(I15&gt;=تنظیمات!$B$11,"B","C")))</f>
        <v/>
      </c>
      <c r="K15" s="29" t="inlineStr">
        <is>
          <t>بالقوه</t>
        </is>
      </c>
      <c r="L15" s="29" t="inlineStr">
        <is>
          <t>در برنامه ویزیت هفته بعد</t>
        </is>
      </c>
    </row>
    <row r="16" ht="20" customHeight="1">
      <c r="A16" s="29" t="n"/>
      <c r="B16" s="29" t="n"/>
      <c r="C16" s="29" t="n"/>
      <c r="D16" s="29" t="n"/>
      <c r="E16" s="29" t="n"/>
      <c r="F16" s="29" t="n"/>
      <c r="G16" s="14">
        <f>IF(A16="","",IFERROR(MINIFS(Sales!$B$4:$B$151,Sales!$C$4:$C$151,A16),"—"))</f>
        <v/>
      </c>
      <c r="H16" s="14">
        <f>IF(A16="","",IFERROR(MAXIFS(Sales!$B$4:$B$151,Sales!$C$4:$C$151,A16),"—"))</f>
        <v/>
      </c>
      <c r="I16" s="13">
        <f>IF(A16="","",SUMIF(Sales!$C$4:$C$151,A16,Sales!$L$4:$L$151))</f>
        <v/>
      </c>
      <c r="J16" s="14">
        <f>IF(OR(A16="",I16=""),"",IF(I16&gt;=تنظیمات!$B$10,"A",IF(I16&gt;=تنظیمات!$B$11,"B","C")))</f>
        <v/>
      </c>
      <c r="K16" s="29" t="n"/>
      <c r="L16" s="29" t="n"/>
    </row>
    <row r="17" ht="20" customHeight="1">
      <c r="A17" s="29" t="n"/>
      <c r="B17" s="29" t="n"/>
      <c r="C17" s="29" t="n"/>
      <c r="D17" s="29" t="n"/>
      <c r="E17" s="29" t="n"/>
      <c r="F17" s="29" t="n"/>
      <c r="G17" s="14">
        <f>IF(A17="","",IFERROR(MINIFS(Sales!$B$4:$B$151,Sales!$C$4:$C$151,A17),"—"))</f>
        <v/>
      </c>
      <c r="H17" s="14">
        <f>IF(A17="","",IFERROR(MAXIFS(Sales!$B$4:$B$151,Sales!$C$4:$C$151,A17),"—"))</f>
        <v/>
      </c>
      <c r="I17" s="13">
        <f>IF(A17="","",SUMIF(Sales!$C$4:$C$151,A17,Sales!$L$4:$L$151))</f>
        <v/>
      </c>
      <c r="J17" s="14">
        <f>IF(OR(A17="",I17=""),"",IF(I17&gt;=تنظیمات!$B$10,"A",IF(I17&gt;=تنظیمات!$B$11,"B","C")))</f>
        <v/>
      </c>
      <c r="K17" s="29" t="n"/>
      <c r="L17" s="29" t="n"/>
    </row>
    <row r="18" ht="20" customHeight="1">
      <c r="A18" s="29" t="n"/>
      <c r="B18" s="29" t="n"/>
      <c r="C18" s="29" t="n"/>
      <c r="D18" s="29" t="n"/>
      <c r="E18" s="29" t="n"/>
      <c r="F18" s="29" t="n"/>
      <c r="G18" s="14">
        <f>IF(A18="","",IFERROR(MINIFS(Sales!$B$4:$B$151,Sales!$C$4:$C$151,A18),"—"))</f>
        <v/>
      </c>
      <c r="H18" s="14">
        <f>IF(A18="","",IFERROR(MAXIFS(Sales!$B$4:$B$151,Sales!$C$4:$C$151,A18),"—"))</f>
        <v/>
      </c>
      <c r="I18" s="13">
        <f>IF(A18="","",SUMIF(Sales!$C$4:$C$151,A18,Sales!$L$4:$L$151))</f>
        <v/>
      </c>
      <c r="J18" s="14">
        <f>IF(OR(A18="",I18=""),"",IF(I18&gt;=تنظیمات!$B$10,"A",IF(I18&gt;=تنظیمات!$B$11,"B","C")))</f>
        <v/>
      </c>
      <c r="K18" s="29" t="n"/>
      <c r="L18" s="29" t="n"/>
    </row>
    <row r="19" ht="20" customHeight="1">
      <c r="A19" s="29" t="n"/>
      <c r="B19" s="29" t="n"/>
      <c r="C19" s="29" t="n"/>
      <c r="D19" s="29" t="n"/>
      <c r="E19" s="29" t="n"/>
      <c r="F19" s="29" t="n"/>
      <c r="G19" s="14">
        <f>IF(A19="","",IFERROR(MINIFS(Sales!$B$4:$B$151,Sales!$C$4:$C$151,A19),"—"))</f>
        <v/>
      </c>
      <c r="H19" s="14">
        <f>IF(A19="","",IFERROR(MAXIFS(Sales!$B$4:$B$151,Sales!$C$4:$C$151,A19),"—"))</f>
        <v/>
      </c>
      <c r="I19" s="13">
        <f>IF(A19="","",SUMIF(Sales!$C$4:$C$151,A19,Sales!$L$4:$L$151))</f>
        <v/>
      </c>
      <c r="J19" s="14">
        <f>IF(OR(A19="",I19=""),"",IF(I19&gt;=تنظیمات!$B$10,"A",IF(I19&gt;=تنظیمات!$B$11,"B","C")))</f>
        <v/>
      </c>
      <c r="K19" s="29" t="n"/>
      <c r="L19" s="29" t="n"/>
    </row>
    <row r="20" ht="20" customHeight="1">
      <c r="A20" s="29" t="n"/>
      <c r="B20" s="29" t="n"/>
      <c r="C20" s="29" t="n"/>
      <c r="D20" s="29" t="n"/>
      <c r="E20" s="29" t="n"/>
      <c r="F20" s="29" t="n"/>
      <c r="G20" s="14">
        <f>IF(A20="","",IFERROR(MINIFS(Sales!$B$4:$B$151,Sales!$C$4:$C$151,A20),"—"))</f>
        <v/>
      </c>
      <c r="H20" s="14">
        <f>IF(A20="","",IFERROR(MAXIFS(Sales!$B$4:$B$151,Sales!$C$4:$C$151,A20),"—"))</f>
        <v/>
      </c>
      <c r="I20" s="13">
        <f>IF(A20="","",SUMIF(Sales!$C$4:$C$151,A20,Sales!$L$4:$L$151))</f>
        <v/>
      </c>
      <c r="J20" s="14">
        <f>IF(OR(A20="",I20=""),"",IF(I20&gt;=تنظیمات!$B$10,"A",IF(I20&gt;=تنظیمات!$B$11,"B","C")))</f>
        <v/>
      </c>
      <c r="K20" s="29" t="n"/>
      <c r="L20" s="29" t="n"/>
    </row>
    <row r="21" ht="20" customHeight="1">
      <c r="A21" s="29" t="n"/>
      <c r="B21" s="29" t="n"/>
      <c r="C21" s="29" t="n"/>
      <c r="D21" s="29" t="n"/>
      <c r="E21" s="29" t="n"/>
      <c r="F21" s="29" t="n"/>
      <c r="G21" s="14">
        <f>IF(A21="","",IFERROR(MINIFS(Sales!$B$4:$B$151,Sales!$C$4:$C$151,A21),"—"))</f>
        <v/>
      </c>
      <c r="H21" s="14">
        <f>IF(A21="","",IFERROR(MAXIFS(Sales!$B$4:$B$151,Sales!$C$4:$C$151,A21),"—"))</f>
        <v/>
      </c>
      <c r="I21" s="13">
        <f>IF(A21="","",SUMIF(Sales!$C$4:$C$151,A21,Sales!$L$4:$L$151))</f>
        <v/>
      </c>
      <c r="J21" s="14">
        <f>IF(OR(A21="",I21=""),"",IF(I21&gt;=تنظیمات!$B$10,"A",IF(I21&gt;=تنظیمات!$B$11,"B","C")))</f>
        <v/>
      </c>
      <c r="K21" s="29" t="n"/>
      <c r="L21" s="29" t="n"/>
    </row>
    <row r="22" ht="20" customHeight="1">
      <c r="A22" s="29" t="n"/>
      <c r="B22" s="29" t="n"/>
      <c r="C22" s="29" t="n"/>
      <c r="D22" s="29" t="n"/>
      <c r="E22" s="29" t="n"/>
      <c r="F22" s="29" t="n"/>
      <c r="G22" s="14">
        <f>IF(A22="","",IFERROR(MINIFS(Sales!$B$4:$B$151,Sales!$C$4:$C$151,A22),"—"))</f>
        <v/>
      </c>
      <c r="H22" s="14">
        <f>IF(A22="","",IFERROR(MAXIFS(Sales!$B$4:$B$151,Sales!$C$4:$C$151,A22),"—"))</f>
        <v/>
      </c>
      <c r="I22" s="13">
        <f>IF(A22="","",SUMIF(Sales!$C$4:$C$151,A22,Sales!$L$4:$L$151))</f>
        <v/>
      </c>
      <c r="J22" s="14">
        <f>IF(OR(A22="",I22=""),"",IF(I22&gt;=تنظیمات!$B$10,"A",IF(I22&gt;=تنظیمات!$B$11,"B","C")))</f>
        <v/>
      </c>
      <c r="K22" s="29" t="n"/>
      <c r="L22" s="29" t="n"/>
    </row>
    <row r="23" ht="20" customHeight="1">
      <c r="A23" s="29" t="n"/>
      <c r="B23" s="29" t="n"/>
      <c r="C23" s="29" t="n"/>
      <c r="D23" s="29" t="n"/>
      <c r="E23" s="29" t="n"/>
      <c r="F23" s="29" t="n"/>
      <c r="G23" s="14">
        <f>IF(A23="","",IFERROR(MINIFS(Sales!$B$4:$B$151,Sales!$C$4:$C$151,A23),"—"))</f>
        <v/>
      </c>
      <c r="H23" s="14">
        <f>IF(A23="","",IFERROR(MAXIFS(Sales!$B$4:$B$151,Sales!$C$4:$C$151,A23),"—"))</f>
        <v/>
      </c>
      <c r="I23" s="13">
        <f>IF(A23="","",SUMIF(Sales!$C$4:$C$151,A23,Sales!$L$4:$L$151))</f>
        <v/>
      </c>
      <c r="J23" s="14">
        <f>IF(OR(A23="",I23=""),"",IF(I23&gt;=تنظیمات!$B$10,"A",IF(I23&gt;=تنظیمات!$B$11,"B","C")))</f>
        <v/>
      </c>
      <c r="K23" s="29" t="n"/>
      <c r="L23" s="29" t="n"/>
    </row>
    <row r="24" ht="20" customHeight="1">
      <c r="A24" s="29" t="n"/>
      <c r="B24" s="29" t="n"/>
      <c r="C24" s="29" t="n"/>
      <c r="D24" s="29" t="n"/>
      <c r="E24" s="29" t="n"/>
      <c r="F24" s="29" t="n"/>
      <c r="G24" s="14">
        <f>IF(A24="","",IFERROR(MINIFS(Sales!$B$4:$B$151,Sales!$C$4:$C$151,A24),"—"))</f>
        <v/>
      </c>
      <c r="H24" s="14">
        <f>IF(A24="","",IFERROR(MAXIFS(Sales!$B$4:$B$151,Sales!$C$4:$C$151,A24),"—"))</f>
        <v/>
      </c>
      <c r="I24" s="13">
        <f>IF(A24="","",SUMIF(Sales!$C$4:$C$151,A24,Sales!$L$4:$L$151))</f>
        <v/>
      </c>
      <c r="J24" s="14">
        <f>IF(OR(A24="",I24=""),"",IF(I24&gt;=تنظیمات!$B$10,"A",IF(I24&gt;=تنظیمات!$B$11,"B","C")))</f>
        <v/>
      </c>
      <c r="K24" s="29" t="n"/>
      <c r="L24" s="29" t="n"/>
    </row>
    <row r="25" ht="20" customHeight="1">
      <c r="A25" s="29" t="n"/>
      <c r="B25" s="29" t="n"/>
      <c r="C25" s="29" t="n"/>
      <c r="D25" s="29" t="n"/>
      <c r="E25" s="29" t="n"/>
      <c r="F25" s="29" t="n"/>
      <c r="G25" s="14">
        <f>IF(A25="","",IFERROR(MINIFS(Sales!$B$4:$B$151,Sales!$C$4:$C$151,A25),"—"))</f>
        <v/>
      </c>
      <c r="H25" s="14">
        <f>IF(A25="","",IFERROR(MAXIFS(Sales!$B$4:$B$151,Sales!$C$4:$C$151,A25),"—"))</f>
        <v/>
      </c>
      <c r="I25" s="13">
        <f>IF(A25="","",SUMIF(Sales!$C$4:$C$151,A25,Sales!$L$4:$L$151))</f>
        <v/>
      </c>
      <c r="J25" s="14">
        <f>IF(OR(A25="",I25=""),"",IF(I25&gt;=تنظیمات!$B$10,"A",IF(I25&gt;=تنظیمات!$B$11,"B","C")))</f>
        <v/>
      </c>
      <c r="K25" s="29" t="n"/>
      <c r="L25" s="29" t="n"/>
    </row>
    <row r="26" ht="20" customHeight="1">
      <c r="A26" s="29" t="n"/>
      <c r="B26" s="29" t="n"/>
      <c r="C26" s="29" t="n"/>
      <c r="D26" s="29" t="n"/>
      <c r="E26" s="29" t="n"/>
      <c r="F26" s="29" t="n"/>
      <c r="G26" s="14">
        <f>IF(A26="","",IFERROR(MINIFS(Sales!$B$4:$B$151,Sales!$C$4:$C$151,A26),"—"))</f>
        <v/>
      </c>
      <c r="H26" s="14">
        <f>IF(A26="","",IFERROR(MAXIFS(Sales!$B$4:$B$151,Sales!$C$4:$C$151,A26),"—"))</f>
        <v/>
      </c>
      <c r="I26" s="13">
        <f>IF(A26="","",SUMIF(Sales!$C$4:$C$151,A26,Sales!$L$4:$L$151))</f>
        <v/>
      </c>
      <c r="J26" s="14">
        <f>IF(OR(A26="",I26=""),"",IF(I26&gt;=تنظیمات!$B$10,"A",IF(I26&gt;=تنظیمات!$B$11,"B","C")))</f>
        <v/>
      </c>
      <c r="K26" s="29" t="n"/>
      <c r="L26" s="29" t="n"/>
    </row>
    <row r="27" ht="20" customHeight="1">
      <c r="A27" s="29" t="n"/>
      <c r="B27" s="29" t="n"/>
      <c r="C27" s="29" t="n"/>
      <c r="D27" s="29" t="n"/>
      <c r="E27" s="29" t="n"/>
      <c r="F27" s="29" t="n"/>
      <c r="G27" s="14">
        <f>IF(A27="","",IFERROR(MINIFS(Sales!$B$4:$B$151,Sales!$C$4:$C$151,A27),"—"))</f>
        <v/>
      </c>
      <c r="H27" s="14">
        <f>IF(A27="","",IFERROR(MAXIFS(Sales!$B$4:$B$151,Sales!$C$4:$C$151,A27),"—"))</f>
        <v/>
      </c>
      <c r="I27" s="13">
        <f>IF(A27="","",SUMIF(Sales!$C$4:$C$151,A27,Sales!$L$4:$L$151))</f>
        <v/>
      </c>
      <c r="J27" s="14">
        <f>IF(OR(A27="",I27=""),"",IF(I27&gt;=تنظیمات!$B$10,"A",IF(I27&gt;=تنظیمات!$B$11,"B","C")))</f>
        <v/>
      </c>
      <c r="K27" s="29" t="n"/>
      <c r="L27" s="29" t="n"/>
    </row>
    <row r="28" ht="20" customHeight="1">
      <c r="A28" s="29" t="n"/>
      <c r="B28" s="29" t="n"/>
      <c r="C28" s="29" t="n"/>
      <c r="D28" s="29" t="n"/>
      <c r="E28" s="29" t="n"/>
      <c r="F28" s="29" t="n"/>
      <c r="G28" s="14">
        <f>IF(A28="","",IFERROR(MINIFS(Sales!$B$4:$B$151,Sales!$C$4:$C$151,A28),"—"))</f>
        <v/>
      </c>
      <c r="H28" s="14">
        <f>IF(A28="","",IFERROR(MAXIFS(Sales!$B$4:$B$151,Sales!$C$4:$C$151,A28),"—"))</f>
        <v/>
      </c>
      <c r="I28" s="13">
        <f>IF(A28="","",SUMIF(Sales!$C$4:$C$151,A28,Sales!$L$4:$L$151))</f>
        <v/>
      </c>
      <c r="J28" s="14">
        <f>IF(OR(A28="",I28=""),"",IF(I28&gt;=تنظیمات!$B$10,"A",IF(I28&gt;=تنظیمات!$B$11,"B","C")))</f>
        <v/>
      </c>
      <c r="K28" s="29" t="n"/>
      <c r="L28" s="29" t="n"/>
    </row>
    <row r="29" ht="20" customHeight="1">
      <c r="A29" s="29" t="n"/>
      <c r="B29" s="29" t="n"/>
      <c r="C29" s="29" t="n"/>
      <c r="D29" s="29" t="n"/>
      <c r="E29" s="29" t="n"/>
      <c r="F29" s="29" t="n"/>
      <c r="G29" s="14">
        <f>IF(A29="","",IFERROR(MINIFS(Sales!$B$4:$B$151,Sales!$C$4:$C$151,A29),"—"))</f>
        <v/>
      </c>
      <c r="H29" s="14">
        <f>IF(A29="","",IFERROR(MAXIFS(Sales!$B$4:$B$151,Sales!$C$4:$C$151,A29),"—"))</f>
        <v/>
      </c>
      <c r="I29" s="13">
        <f>IF(A29="","",SUMIF(Sales!$C$4:$C$151,A29,Sales!$L$4:$L$151))</f>
        <v/>
      </c>
      <c r="J29" s="14">
        <f>IF(OR(A29="",I29=""),"",IF(I29&gt;=تنظیمات!$B$10,"A",IF(I29&gt;=تنظیمات!$B$11,"B","C")))</f>
        <v/>
      </c>
      <c r="K29" s="29" t="n"/>
      <c r="L29" s="29" t="n"/>
    </row>
    <row r="30" ht="20" customHeight="1">
      <c r="A30" s="29" t="n"/>
      <c r="B30" s="29" t="n"/>
      <c r="C30" s="29" t="n"/>
      <c r="D30" s="29" t="n"/>
      <c r="E30" s="29" t="n"/>
      <c r="F30" s="29" t="n"/>
      <c r="G30" s="14">
        <f>IF(A30="","",IFERROR(MINIFS(Sales!$B$4:$B$151,Sales!$C$4:$C$151,A30),"—"))</f>
        <v/>
      </c>
      <c r="H30" s="14">
        <f>IF(A30="","",IFERROR(MAXIFS(Sales!$B$4:$B$151,Sales!$C$4:$C$151,A30),"—"))</f>
        <v/>
      </c>
      <c r="I30" s="13">
        <f>IF(A30="","",SUMIF(Sales!$C$4:$C$151,A30,Sales!$L$4:$L$151))</f>
        <v/>
      </c>
      <c r="J30" s="14">
        <f>IF(OR(A30="",I30=""),"",IF(I30&gt;=تنظیمات!$B$10,"A",IF(I30&gt;=تنظیمات!$B$11,"B","C")))</f>
        <v/>
      </c>
      <c r="K30" s="29" t="n"/>
      <c r="L30" s="29" t="n"/>
    </row>
    <row r="31" ht="20" customHeight="1">
      <c r="A31" s="29" t="n"/>
      <c r="B31" s="29" t="n"/>
      <c r="C31" s="29" t="n"/>
      <c r="D31" s="29" t="n"/>
      <c r="E31" s="29" t="n"/>
      <c r="F31" s="29" t="n"/>
      <c r="G31" s="14">
        <f>IF(A31="","",IFERROR(MINIFS(Sales!$B$4:$B$151,Sales!$C$4:$C$151,A31),"—"))</f>
        <v/>
      </c>
      <c r="H31" s="14">
        <f>IF(A31="","",IFERROR(MAXIFS(Sales!$B$4:$B$151,Sales!$C$4:$C$151,A31),"—"))</f>
        <v/>
      </c>
      <c r="I31" s="13">
        <f>IF(A31="","",SUMIF(Sales!$C$4:$C$151,A31,Sales!$L$4:$L$151))</f>
        <v/>
      </c>
      <c r="J31" s="14">
        <f>IF(OR(A31="",I31=""),"",IF(I31&gt;=تنظیمات!$B$10,"A",IF(I31&gt;=تنظیمات!$B$11,"B","C")))</f>
        <v/>
      </c>
      <c r="K31" s="29" t="n"/>
      <c r="L31" s="29" t="n"/>
    </row>
    <row r="32" ht="20" customHeight="1">
      <c r="A32" s="29" t="n"/>
      <c r="B32" s="29" t="n"/>
      <c r="C32" s="29" t="n"/>
      <c r="D32" s="29" t="n"/>
      <c r="E32" s="29" t="n"/>
      <c r="F32" s="29" t="n"/>
      <c r="G32" s="14">
        <f>IF(A32="","",IFERROR(MINIFS(Sales!$B$4:$B$151,Sales!$C$4:$C$151,A32),"—"))</f>
        <v/>
      </c>
      <c r="H32" s="14">
        <f>IF(A32="","",IFERROR(MAXIFS(Sales!$B$4:$B$151,Sales!$C$4:$C$151,A32),"—"))</f>
        <v/>
      </c>
      <c r="I32" s="13">
        <f>IF(A32="","",SUMIF(Sales!$C$4:$C$151,A32,Sales!$L$4:$L$151))</f>
        <v/>
      </c>
      <c r="J32" s="14">
        <f>IF(OR(A32="",I32=""),"",IF(I32&gt;=تنظیمات!$B$10,"A",IF(I32&gt;=تنظیمات!$B$11,"B","C")))</f>
        <v/>
      </c>
      <c r="K32" s="29" t="n"/>
      <c r="L32" s="29" t="n"/>
    </row>
    <row r="33" ht="20" customHeight="1">
      <c r="A33" s="29" t="n"/>
      <c r="B33" s="29" t="n"/>
      <c r="C33" s="29" t="n"/>
      <c r="D33" s="29" t="n"/>
      <c r="E33" s="29" t="n"/>
      <c r="F33" s="29" t="n"/>
      <c r="G33" s="14">
        <f>IF(A33="","",IFERROR(MINIFS(Sales!$B$4:$B$151,Sales!$C$4:$C$151,A33),"—"))</f>
        <v/>
      </c>
      <c r="H33" s="14">
        <f>IF(A33="","",IFERROR(MAXIFS(Sales!$B$4:$B$151,Sales!$C$4:$C$151,A33),"—"))</f>
        <v/>
      </c>
      <c r="I33" s="13">
        <f>IF(A33="","",SUMIF(Sales!$C$4:$C$151,A33,Sales!$L$4:$L$151))</f>
        <v/>
      </c>
      <c r="J33" s="14">
        <f>IF(OR(A33="",I33=""),"",IF(I33&gt;=تنظیمات!$B$10,"A",IF(I33&gt;=تنظیمات!$B$11,"B","C")))</f>
        <v/>
      </c>
      <c r="K33" s="29" t="n"/>
      <c r="L33" s="29" t="n"/>
    </row>
    <row r="34" ht="20" customHeight="1">
      <c r="A34" s="29" t="n"/>
      <c r="B34" s="29" t="n"/>
      <c r="C34" s="29" t="n"/>
      <c r="D34" s="29" t="n"/>
      <c r="E34" s="29" t="n"/>
      <c r="F34" s="29" t="n"/>
      <c r="G34" s="14">
        <f>IF(A34="","",IFERROR(MINIFS(Sales!$B$4:$B$151,Sales!$C$4:$C$151,A34),"—"))</f>
        <v/>
      </c>
      <c r="H34" s="14">
        <f>IF(A34="","",IFERROR(MAXIFS(Sales!$B$4:$B$151,Sales!$C$4:$C$151,A34),"—"))</f>
        <v/>
      </c>
      <c r="I34" s="13">
        <f>IF(A34="","",SUMIF(Sales!$C$4:$C$151,A34,Sales!$L$4:$L$151))</f>
        <v/>
      </c>
      <c r="J34" s="14">
        <f>IF(OR(A34="",I34=""),"",IF(I34&gt;=تنظیمات!$B$10,"A",IF(I34&gt;=تنظیمات!$B$11,"B","C")))</f>
        <v/>
      </c>
      <c r="K34" s="29" t="n"/>
      <c r="L34" s="29" t="n"/>
    </row>
    <row r="35" ht="20" customHeight="1">
      <c r="A35" s="29" t="n"/>
      <c r="B35" s="29" t="n"/>
      <c r="C35" s="29" t="n"/>
      <c r="D35" s="29" t="n"/>
      <c r="E35" s="29" t="n"/>
      <c r="F35" s="29" t="n"/>
      <c r="G35" s="14">
        <f>IF(A35="","",IFERROR(MINIFS(Sales!$B$4:$B$151,Sales!$C$4:$C$151,A35),"—"))</f>
        <v/>
      </c>
      <c r="H35" s="14">
        <f>IF(A35="","",IFERROR(MAXIFS(Sales!$B$4:$B$151,Sales!$C$4:$C$151,A35),"—"))</f>
        <v/>
      </c>
      <c r="I35" s="13">
        <f>IF(A35="","",SUMIF(Sales!$C$4:$C$151,A35,Sales!$L$4:$L$151))</f>
        <v/>
      </c>
      <c r="J35" s="14">
        <f>IF(OR(A35="",I35=""),"",IF(I35&gt;=تنظیمات!$B$10,"A",IF(I35&gt;=تنظیمات!$B$11,"B","C")))</f>
        <v/>
      </c>
      <c r="K35" s="29" t="n"/>
      <c r="L35" s="29" t="n"/>
    </row>
    <row r="36" ht="20" customHeight="1">
      <c r="A36" s="29" t="n"/>
      <c r="B36" s="29" t="n"/>
      <c r="C36" s="29" t="n"/>
      <c r="D36" s="29" t="n"/>
      <c r="E36" s="29" t="n"/>
      <c r="F36" s="29" t="n"/>
      <c r="G36" s="14">
        <f>IF(A36="","",IFERROR(MINIFS(Sales!$B$4:$B$151,Sales!$C$4:$C$151,A36),"—"))</f>
        <v/>
      </c>
      <c r="H36" s="14">
        <f>IF(A36="","",IFERROR(MAXIFS(Sales!$B$4:$B$151,Sales!$C$4:$C$151,A36),"—"))</f>
        <v/>
      </c>
      <c r="I36" s="13">
        <f>IF(A36="","",SUMIF(Sales!$C$4:$C$151,A36,Sales!$L$4:$L$151))</f>
        <v/>
      </c>
      <c r="J36" s="14">
        <f>IF(OR(A36="",I36=""),"",IF(I36&gt;=تنظیمات!$B$10,"A",IF(I36&gt;=تنظیمات!$B$11,"B","C")))</f>
        <v/>
      </c>
      <c r="K36" s="29" t="n"/>
      <c r="L36" s="29" t="n"/>
    </row>
    <row r="37" ht="20" customHeight="1">
      <c r="A37" s="29" t="n"/>
      <c r="B37" s="29" t="n"/>
      <c r="C37" s="29" t="n"/>
      <c r="D37" s="29" t="n"/>
      <c r="E37" s="29" t="n"/>
      <c r="F37" s="29" t="n"/>
      <c r="G37" s="14">
        <f>IF(A37="","",IFERROR(MINIFS(Sales!$B$4:$B$151,Sales!$C$4:$C$151,A37),"—"))</f>
        <v/>
      </c>
      <c r="H37" s="14">
        <f>IF(A37="","",IFERROR(MAXIFS(Sales!$B$4:$B$151,Sales!$C$4:$C$151,A37),"—"))</f>
        <v/>
      </c>
      <c r="I37" s="13">
        <f>IF(A37="","",SUMIF(Sales!$C$4:$C$151,A37,Sales!$L$4:$L$151))</f>
        <v/>
      </c>
      <c r="J37" s="14">
        <f>IF(OR(A37="",I37=""),"",IF(I37&gt;=تنظیمات!$B$10,"A",IF(I37&gt;=تنظیمات!$B$11,"B","C")))</f>
        <v/>
      </c>
      <c r="K37" s="29" t="n"/>
      <c r="L37" s="29" t="n"/>
    </row>
    <row r="38" ht="20" customHeight="1">
      <c r="A38" s="29" t="n"/>
      <c r="B38" s="29" t="n"/>
      <c r="C38" s="29" t="n"/>
      <c r="D38" s="29" t="n"/>
      <c r="E38" s="29" t="n"/>
      <c r="F38" s="29" t="n"/>
      <c r="G38" s="14">
        <f>IF(A38="","",IFERROR(MINIFS(Sales!$B$4:$B$151,Sales!$C$4:$C$151,A38),"—"))</f>
        <v/>
      </c>
      <c r="H38" s="14">
        <f>IF(A38="","",IFERROR(MAXIFS(Sales!$B$4:$B$151,Sales!$C$4:$C$151,A38),"—"))</f>
        <v/>
      </c>
      <c r="I38" s="13">
        <f>IF(A38="","",SUMIF(Sales!$C$4:$C$151,A38,Sales!$L$4:$L$151))</f>
        <v/>
      </c>
      <c r="J38" s="14">
        <f>IF(OR(A38="",I38=""),"",IF(I38&gt;=تنظیمات!$B$10,"A",IF(I38&gt;=تنظیمات!$B$11,"B","C")))</f>
        <v/>
      </c>
      <c r="K38" s="29" t="n"/>
      <c r="L38" s="29" t="n"/>
    </row>
    <row r="39" ht="20" customHeight="1">
      <c r="A39" s="29" t="n"/>
      <c r="B39" s="29" t="n"/>
      <c r="C39" s="29" t="n"/>
      <c r="D39" s="29" t="n"/>
      <c r="E39" s="29" t="n"/>
      <c r="F39" s="29" t="n"/>
      <c r="G39" s="14">
        <f>IF(A39="","",IFERROR(MINIFS(Sales!$B$4:$B$151,Sales!$C$4:$C$151,A39),"—"))</f>
        <v/>
      </c>
      <c r="H39" s="14">
        <f>IF(A39="","",IFERROR(MAXIFS(Sales!$B$4:$B$151,Sales!$C$4:$C$151,A39),"—"))</f>
        <v/>
      </c>
      <c r="I39" s="13">
        <f>IF(A39="","",SUMIF(Sales!$C$4:$C$151,A39,Sales!$L$4:$L$151))</f>
        <v/>
      </c>
      <c r="J39" s="14">
        <f>IF(OR(A39="",I39=""),"",IF(I39&gt;=تنظیمات!$B$10,"A",IF(I39&gt;=تنظیمات!$B$11,"B","C")))</f>
        <v/>
      </c>
      <c r="K39" s="29" t="n"/>
      <c r="L39" s="29" t="n"/>
    </row>
    <row r="40" ht="20" customHeight="1">
      <c r="A40" s="29" t="n"/>
      <c r="B40" s="29" t="n"/>
      <c r="C40" s="29" t="n"/>
      <c r="D40" s="29" t="n"/>
      <c r="E40" s="29" t="n"/>
      <c r="F40" s="29" t="n"/>
      <c r="G40" s="14">
        <f>IF(A40="","",IFERROR(MINIFS(Sales!$B$4:$B$151,Sales!$C$4:$C$151,A40),"—"))</f>
        <v/>
      </c>
      <c r="H40" s="14">
        <f>IF(A40="","",IFERROR(MAXIFS(Sales!$B$4:$B$151,Sales!$C$4:$C$151,A40),"—"))</f>
        <v/>
      </c>
      <c r="I40" s="13">
        <f>IF(A40="","",SUMIF(Sales!$C$4:$C$151,A40,Sales!$L$4:$L$151))</f>
        <v/>
      </c>
      <c r="J40" s="14">
        <f>IF(OR(A40="",I40=""),"",IF(I40&gt;=تنظیمات!$B$10,"A",IF(I40&gt;=تنظیمات!$B$11,"B","C")))</f>
        <v/>
      </c>
      <c r="K40" s="29" t="n"/>
      <c r="L40" s="29" t="n"/>
    </row>
    <row r="41" ht="20" customHeight="1">
      <c r="A41" s="29" t="n"/>
      <c r="B41" s="29" t="n"/>
      <c r="C41" s="29" t="n"/>
      <c r="D41" s="29" t="n"/>
      <c r="E41" s="29" t="n"/>
      <c r="F41" s="29" t="n"/>
      <c r="G41" s="14">
        <f>IF(A41="","",IFERROR(MINIFS(Sales!$B$4:$B$151,Sales!$C$4:$C$151,A41),"—"))</f>
        <v/>
      </c>
      <c r="H41" s="14">
        <f>IF(A41="","",IFERROR(MAXIFS(Sales!$B$4:$B$151,Sales!$C$4:$C$151,A41),"—"))</f>
        <v/>
      </c>
      <c r="I41" s="13">
        <f>IF(A41="","",SUMIF(Sales!$C$4:$C$151,A41,Sales!$L$4:$L$151))</f>
        <v/>
      </c>
      <c r="J41" s="14">
        <f>IF(OR(A41="",I41=""),"",IF(I41&gt;=تنظیمات!$B$10,"A",IF(I41&gt;=تنظیمات!$B$11,"B","C")))</f>
        <v/>
      </c>
      <c r="K41" s="29" t="n"/>
      <c r="L41" s="29" t="n"/>
    </row>
    <row r="42" ht="20" customHeight="1">
      <c r="A42" s="29" t="n"/>
      <c r="B42" s="29" t="n"/>
      <c r="C42" s="29" t="n"/>
      <c r="D42" s="29" t="n"/>
      <c r="E42" s="29" t="n"/>
      <c r="F42" s="29" t="n"/>
      <c r="G42" s="14">
        <f>IF(A42="","",IFERROR(MINIFS(Sales!$B$4:$B$151,Sales!$C$4:$C$151,A42),"—"))</f>
        <v/>
      </c>
      <c r="H42" s="14">
        <f>IF(A42="","",IFERROR(MAXIFS(Sales!$B$4:$B$151,Sales!$C$4:$C$151,A42),"—"))</f>
        <v/>
      </c>
      <c r="I42" s="13">
        <f>IF(A42="","",SUMIF(Sales!$C$4:$C$151,A42,Sales!$L$4:$L$151))</f>
        <v/>
      </c>
      <c r="J42" s="14">
        <f>IF(OR(A42="",I42=""),"",IF(I42&gt;=تنظیمات!$B$10,"A",IF(I42&gt;=تنظیمات!$B$11,"B","C")))</f>
        <v/>
      </c>
      <c r="K42" s="29" t="n"/>
      <c r="L42" s="29" t="n"/>
    </row>
    <row r="43" ht="20" customHeight="1">
      <c r="A43" s="29" t="n"/>
      <c r="B43" s="29" t="n"/>
      <c r="C43" s="29" t="n"/>
      <c r="D43" s="29" t="n"/>
      <c r="E43" s="29" t="n"/>
      <c r="F43" s="29" t="n"/>
      <c r="G43" s="14">
        <f>IF(A43="","",IFERROR(MINIFS(Sales!$B$4:$B$151,Sales!$C$4:$C$151,A43),"—"))</f>
        <v/>
      </c>
      <c r="H43" s="14">
        <f>IF(A43="","",IFERROR(MAXIFS(Sales!$B$4:$B$151,Sales!$C$4:$C$151,A43),"—"))</f>
        <v/>
      </c>
      <c r="I43" s="13">
        <f>IF(A43="","",SUMIF(Sales!$C$4:$C$151,A43,Sales!$L$4:$L$151))</f>
        <v/>
      </c>
      <c r="J43" s="14">
        <f>IF(OR(A43="",I43=""),"",IF(I43&gt;=تنظیمات!$B$10,"A",IF(I43&gt;=تنظیمات!$B$11,"B","C")))</f>
        <v/>
      </c>
      <c r="K43" s="29" t="n"/>
      <c r="L43" s="29" t="n"/>
    </row>
    <row r="44" ht="20" customHeight="1">
      <c r="A44" s="29" t="n"/>
      <c r="B44" s="29" t="n"/>
      <c r="C44" s="29" t="n"/>
      <c r="D44" s="29" t="n"/>
      <c r="E44" s="29" t="n"/>
      <c r="F44" s="29" t="n"/>
      <c r="G44" s="14">
        <f>IF(A44="","",IFERROR(MINIFS(Sales!$B$4:$B$151,Sales!$C$4:$C$151,A44),"—"))</f>
        <v/>
      </c>
      <c r="H44" s="14">
        <f>IF(A44="","",IFERROR(MAXIFS(Sales!$B$4:$B$151,Sales!$C$4:$C$151,A44),"—"))</f>
        <v/>
      </c>
      <c r="I44" s="13">
        <f>IF(A44="","",SUMIF(Sales!$C$4:$C$151,A44,Sales!$L$4:$L$151))</f>
        <v/>
      </c>
      <c r="J44" s="14">
        <f>IF(OR(A44="",I44=""),"",IF(I44&gt;=تنظیمات!$B$10,"A",IF(I44&gt;=تنظیمات!$B$11,"B","C")))</f>
        <v/>
      </c>
      <c r="K44" s="29" t="n"/>
      <c r="L44" s="29" t="n"/>
    </row>
    <row r="45" ht="20" customHeight="1">
      <c r="A45" s="29" t="n"/>
      <c r="B45" s="29" t="n"/>
      <c r="C45" s="29" t="n"/>
      <c r="D45" s="29" t="n"/>
      <c r="E45" s="29" t="n"/>
      <c r="F45" s="29" t="n"/>
      <c r="G45" s="14">
        <f>IF(A45="","",IFERROR(MINIFS(Sales!$B$4:$B$151,Sales!$C$4:$C$151,A45),"—"))</f>
        <v/>
      </c>
      <c r="H45" s="14">
        <f>IF(A45="","",IFERROR(MAXIFS(Sales!$B$4:$B$151,Sales!$C$4:$C$151,A45),"—"))</f>
        <v/>
      </c>
      <c r="I45" s="13">
        <f>IF(A45="","",SUMIF(Sales!$C$4:$C$151,A45,Sales!$L$4:$L$151))</f>
        <v/>
      </c>
      <c r="J45" s="14">
        <f>IF(OR(A45="",I45=""),"",IF(I45&gt;=تنظیمات!$B$10,"A",IF(I45&gt;=تنظیمات!$B$11,"B","C")))</f>
        <v/>
      </c>
      <c r="K45" s="29" t="n"/>
      <c r="L45" s="29" t="n"/>
    </row>
    <row r="46" ht="20" customHeight="1">
      <c r="A46" s="29" t="n"/>
      <c r="B46" s="29" t="n"/>
      <c r="C46" s="29" t="n"/>
      <c r="D46" s="29" t="n"/>
      <c r="E46" s="29" t="n"/>
      <c r="F46" s="29" t="n"/>
      <c r="G46" s="14">
        <f>IF(A46="","",IFERROR(MINIFS(Sales!$B$4:$B$151,Sales!$C$4:$C$151,A46),"—"))</f>
        <v/>
      </c>
      <c r="H46" s="14">
        <f>IF(A46="","",IFERROR(MAXIFS(Sales!$B$4:$B$151,Sales!$C$4:$C$151,A46),"—"))</f>
        <v/>
      </c>
      <c r="I46" s="13">
        <f>IF(A46="","",SUMIF(Sales!$C$4:$C$151,A46,Sales!$L$4:$L$151))</f>
        <v/>
      </c>
      <c r="J46" s="14">
        <f>IF(OR(A46="",I46=""),"",IF(I46&gt;=تنظیمات!$B$10,"A",IF(I46&gt;=تنظیمات!$B$11,"B","C")))</f>
        <v/>
      </c>
      <c r="K46" s="29" t="n"/>
      <c r="L46" s="29" t="n"/>
    </row>
    <row r="47" ht="20" customHeight="1">
      <c r="A47" s="29" t="n"/>
      <c r="B47" s="29" t="n"/>
      <c r="C47" s="29" t="n"/>
      <c r="D47" s="29" t="n"/>
      <c r="E47" s="29" t="n"/>
      <c r="F47" s="29" t="n"/>
      <c r="G47" s="14">
        <f>IF(A47="","",IFERROR(MINIFS(Sales!$B$4:$B$151,Sales!$C$4:$C$151,A47),"—"))</f>
        <v/>
      </c>
      <c r="H47" s="14">
        <f>IF(A47="","",IFERROR(MAXIFS(Sales!$B$4:$B$151,Sales!$C$4:$C$151,A47),"—"))</f>
        <v/>
      </c>
      <c r="I47" s="13">
        <f>IF(A47="","",SUMIF(Sales!$C$4:$C$151,A47,Sales!$L$4:$L$151))</f>
        <v/>
      </c>
      <c r="J47" s="14">
        <f>IF(OR(A47="",I47=""),"",IF(I47&gt;=تنظیمات!$B$10,"A",IF(I47&gt;=تنظیمات!$B$11,"B","C")))</f>
        <v/>
      </c>
      <c r="K47" s="29" t="n"/>
      <c r="L47" s="29" t="n"/>
    </row>
    <row r="48" ht="20" customHeight="1">
      <c r="A48" s="29" t="n"/>
      <c r="B48" s="29" t="n"/>
      <c r="C48" s="29" t="n"/>
      <c r="D48" s="29" t="n"/>
      <c r="E48" s="29" t="n"/>
      <c r="F48" s="29" t="n"/>
      <c r="G48" s="14">
        <f>IF(A48="","",IFERROR(MINIFS(Sales!$B$4:$B$151,Sales!$C$4:$C$151,A48),"—"))</f>
        <v/>
      </c>
      <c r="H48" s="14">
        <f>IF(A48="","",IFERROR(MAXIFS(Sales!$B$4:$B$151,Sales!$C$4:$C$151,A48),"—"))</f>
        <v/>
      </c>
      <c r="I48" s="13">
        <f>IF(A48="","",SUMIF(Sales!$C$4:$C$151,A48,Sales!$L$4:$L$151))</f>
        <v/>
      </c>
      <c r="J48" s="14">
        <f>IF(OR(A48="",I48=""),"",IF(I48&gt;=تنظیمات!$B$10,"A",IF(I48&gt;=تنظیمات!$B$11,"B","C")))</f>
        <v/>
      </c>
      <c r="K48" s="29" t="n"/>
      <c r="L48" s="29" t="n"/>
    </row>
    <row r="49" ht="20" customHeight="1">
      <c r="A49" s="29" t="n"/>
      <c r="B49" s="29" t="n"/>
      <c r="C49" s="29" t="n"/>
      <c r="D49" s="29" t="n"/>
      <c r="E49" s="29" t="n"/>
      <c r="F49" s="29" t="n"/>
      <c r="G49" s="14">
        <f>IF(A49="","",IFERROR(MINIFS(Sales!$B$4:$B$151,Sales!$C$4:$C$151,A49),"—"))</f>
        <v/>
      </c>
      <c r="H49" s="14">
        <f>IF(A49="","",IFERROR(MAXIFS(Sales!$B$4:$B$151,Sales!$C$4:$C$151,A49),"—"))</f>
        <v/>
      </c>
      <c r="I49" s="13">
        <f>IF(A49="","",SUMIF(Sales!$C$4:$C$151,A49,Sales!$L$4:$L$151))</f>
        <v/>
      </c>
      <c r="J49" s="14">
        <f>IF(OR(A49="",I49=""),"",IF(I49&gt;=تنظیمات!$B$10,"A",IF(I49&gt;=تنظیمات!$B$11,"B","C")))</f>
        <v/>
      </c>
      <c r="K49" s="29" t="n"/>
      <c r="L49" s="29" t="n"/>
    </row>
    <row r="50" ht="20" customHeight="1">
      <c r="A50" s="29" t="n"/>
      <c r="B50" s="29" t="n"/>
      <c r="C50" s="29" t="n"/>
      <c r="D50" s="29" t="n"/>
      <c r="E50" s="29" t="n"/>
      <c r="F50" s="29" t="n"/>
      <c r="G50" s="14">
        <f>IF(A50="","",IFERROR(MINIFS(Sales!$B$4:$B$151,Sales!$C$4:$C$151,A50),"—"))</f>
        <v/>
      </c>
      <c r="H50" s="14">
        <f>IF(A50="","",IFERROR(MAXIFS(Sales!$B$4:$B$151,Sales!$C$4:$C$151,A50),"—"))</f>
        <v/>
      </c>
      <c r="I50" s="13">
        <f>IF(A50="","",SUMIF(Sales!$C$4:$C$151,A50,Sales!$L$4:$L$151))</f>
        <v/>
      </c>
      <c r="J50" s="14">
        <f>IF(OR(A50="",I50=""),"",IF(I50&gt;=تنظیمات!$B$10,"A",IF(I50&gt;=تنظیمات!$B$11,"B","C")))</f>
        <v/>
      </c>
      <c r="K50" s="29" t="n"/>
      <c r="L50" s="29" t="n"/>
    </row>
    <row r="51" ht="20" customHeight="1">
      <c r="A51" s="29" t="n"/>
      <c r="B51" s="29" t="n"/>
      <c r="C51" s="29" t="n"/>
      <c r="D51" s="29" t="n"/>
      <c r="E51" s="29" t="n"/>
      <c r="F51" s="29" t="n"/>
      <c r="G51" s="14">
        <f>IF(A51="","",IFERROR(MINIFS(Sales!$B$4:$B$151,Sales!$C$4:$C$151,A51),"—"))</f>
        <v/>
      </c>
      <c r="H51" s="14">
        <f>IF(A51="","",IFERROR(MAXIFS(Sales!$B$4:$B$151,Sales!$C$4:$C$151,A51),"—"))</f>
        <v/>
      </c>
      <c r="I51" s="13">
        <f>IF(A51="","",SUMIF(Sales!$C$4:$C$151,A51,Sales!$L$4:$L$151))</f>
        <v/>
      </c>
      <c r="J51" s="14">
        <f>IF(OR(A51="",I51=""),"",IF(I51&gt;=تنظیمات!$B$10,"A",IF(I51&gt;=تنظیمات!$B$11,"B","C")))</f>
        <v/>
      </c>
      <c r="K51" s="29" t="n"/>
      <c r="L51" s="29" t="n"/>
    </row>
    <row r="52" ht="20" customHeight="1">
      <c r="A52" s="29" t="n"/>
      <c r="B52" s="29" t="n"/>
      <c r="C52" s="29" t="n"/>
      <c r="D52" s="29" t="n"/>
      <c r="E52" s="29" t="n"/>
      <c r="F52" s="29" t="n"/>
      <c r="G52" s="14">
        <f>IF(A52="","",IFERROR(MINIFS(Sales!$B$4:$B$151,Sales!$C$4:$C$151,A52),"—"))</f>
        <v/>
      </c>
      <c r="H52" s="14">
        <f>IF(A52="","",IFERROR(MAXIFS(Sales!$B$4:$B$151,Sales!$C$4:$C$151,A52),"—"))</f>
        <v/>
      </c>
      <c r="I52" s="13">
        <f>IF(A52="","",SUMIF(Sales!$C$4:$C$151,A52,Sales!$L$4:$L$151))</f>
        <v/>
      </c>
      <c r="J52" s="14">
        <f>IF(OR(A52="",I52=""),"",IF(I52&gt;=تنظیمات!$B$10,"A",IF(I52&gt;=تنظیمات!$B$11,"B","C")))</f>
        <v/>
      </c>
      <c r="K52" s="29" t="n"/>
      <c r="L52" s="29" t="n"/>
    </row>
    <row r="53" ht="20" customHeight="1">
      <c r="A53" s="29" t="n"/>
      <c r="B53" s="29" t="n"/>
      <c r="C53" s="29" t="n"/>
      <c r="D53" s="29" t="n"/>
      <c r="E53" s="29" t="n"/>
      <c r="F53" s="29" t="n"/>
      <c r="G53" s="14">
        <f>IF(A53="","",IFERROR(MINIFS(Sales!$B$4:$B$151,Sales!$C$4:$C$151,A53),"—"))</f>
        <v/>
      </c>
      <c r="H53" s="14">
        <f>IF(A53="","",IFERROR(MAXIFS(Sales!$B$4:$B$151,Sales!$C$4:$C$151,A53),"—"))</f>
        <v/>
      </c>
      <c r="I53" s="13">
        <f>IF(A53="","",SUMIF(Sales!$C$4:$C$151,A53,Sales!$L$4:$L$151))</f>
        <v/>
      </c>
      <c r="J53" s="14">
        <f>IF(OR(A53="",I53=""),"",IF(I53&gt;=تنظیمات!$B$10,"A",IF(I53&gt;=تنظیمات!$B$11,"B","C")))</f>
        <v/>
      </c>
      <c r="K53" s="29" t="n"/>
      <c r="L53" s="29" t="n"/>
    </row>
    <row r="54" ht="20" customHeight="1">
      <c r="A54" s="29" t="n"/>
      <c r="B54" s="29" t="n"/>
      <c r="C54" s="29" t="n"/>
      <c r="D54" s="29" t="n"/>
      <c r="E54" s="29" t="n"/>
      <c r="F54" s="29" t="n"/>
      <c r="G54" s="14">
        <f>IF(A54="","",IFERROR(MINIFS(Sales!$B$4:$B$151,Sales!$C$4:$C$151,A54),"—"))</f>
        <v/>
      </c>
      <c r="H54" s="14">
        <f>IF(A54="","",IFERROR(MAXIFS(Sales!$B$4:$B$151,Sales!$C$4:$C$151,A54),"—"))</f>
        <v/>
      </c>
      <c r="I54" s="13">
        <f>IF(A54="","",SUMIF(Sales!$C$4:$C$151,A54,Sales!$L$4:$L$151))</f>
        <v/>
      </c>
      <c r="J54" s="14">
        <f>IF(OR(A54="",I54=""),"",IF(I54&gt;=تنظیمات!$B$10,"A",IF(I54&gt;=تنظیمات!$B$11,"B","C")))</f>
        <v/>
      </c>
      <c r="K54" s="29" t="n"/>
      <c r="L54" s="29" t="n"/>
    </row>
    <row r="55" ht="20" customHeight="1">
      <c r="A55" s="29" t="n"/>
      <c r="B55" s="29" t="n"/>
      <c r="C55" s="29" t="n"/>
      <c r="D55" s="29" t="n"/>
      <c r="E55" s="29" t="n"/>
      <c r="F55" s="29" t="n"/>
      <c r="G55" s="14">
        <f>IF(A55="","",IFERROR(MINIFS(Sales!$B$4:$B$151,Sales!$C$4:$C$151,A55),"—"))</f>
        <v/>
      </c>
      <c r="H55" s="14">
        <f>IF(A55="","",IFERROR(MAXIFS(Sales!$B$4:$B$151,Sales!$C$4:$C$151,A55),"—"))</f>
        <v/>
      </c>
      <c r="I55" s="13">
        <f>IF(A55="","",SUMIF(Sales!$C$4:$C$151,A55,Sales!$L$4:$L$151))</f>
        <v/>
      </c>
      <c r="J55" s="14">
        <f>IF(OR(A55="",I55=""),"",IF(I55&gt;=تنظیمات!$B$10,"A",IF(I55&gt;=تنظیمات!$B$11,"B","C")))</f>
        <v/>
      </c>
      <c r="K55" s="29" t="n"/>
      <c r="L55" s="29" t="n"/>
    </row>
    <row r="56" ht="20" customHeight="1">
      <c r="A56" s="29" t="n"/>
      <c r="B56" s="29" t="n"/>
      <c r="C56" s="29" t="n"/>
      <c r="D56" s="29" t="n"/>
      <c r="E56" s="29" t="n"/>
      <c r="F56" s="29" t="n"/>
      <c r="G56" s="14">
        <f>IF(A56="","",IFERROR(MINIFS(Sales!$B$4:$B$151,Sales!$C$4:$C$151,A56),"—"))</f>
        <v/>
      </c>
      <c r="H56" s="14">
        <f>IF(A56="","",IFERROR(MAXIFS(Sales!$B$4:$B$151,Sales!$C$4:$C$151,A56),"—"))</f>
        <v/>
      </c>
      <c r="I56" s="13">
        <f>IF(A56="","",SUMIF(Sales!$C$4:$C$151,A56,Sales!$L$4:$L$151))</f>
        <v/>
      </c>
      <c r="J56" s="14">
        <f>IF(OR(A56="",I56=""),"",IF(I56&gt;=تنظیمات!$B$10,"A",IF(I56&gt;=تنظیمات!$B$11,"B","C")))</f>
        <v/>
      </c>
      <c r="K56" s="29" t="n"/>
      <c r="L56" s="29" t="n"/>
    </row>
    <row r="57" ht="20" customHeight="1">
      <c r="A57" s="29" t="n"/>
      <c r="B57" s="29" t="n"/>
      <c r="C57" s="29" t="n"/>
      <c r="D57" s="29" t="n"/>
      <c r="E57" s="29" t="n"/>
      <c r="F57" s="29" t="n"/>
      <c r="G57" s="14">
        <f>IF(A57="","",IFERROR(MINIFS(Sales!$B$4:$B$151,Sales!$C$4:$C$151,A57),"—"))</f>
        <v/>
      </c>
      <c r="H57" s="14">
        <f>IF(A57="","",IFERROR(MAXIFS(Sales!$B$4:$B$151,Sales!$C$4:$C$151,A57),"—"))</f>
        <v/>
      </c>
      <c r="I57" s="13">
        <f>IF(A57="","",SUMIF(Sales!$C$4:$C$151,A57,Sales!$L$4:$L$151))</f>
        <v/>
      </c>
      <c r="J57" s="14">
        <f>IF(OR(A57="",I57=""),"",IF(I57&gt;=تنظیمات!$B$10,"A",IF(I57&gt;=تنظیمات!$B$11,"B","C")))</f>
        <v/>
      </c>
      <c r="K57" s="29" t="n"/>
      <c r="L57" s="29" t="n"/>
    </row>
    <row r="58" ht="20" customHeight="1">
      <c r="A58" s="29" t="n"/>
      <c r="B58" s="29" t="n"/>
      <c r="C58" s="29" t="n"/>
      <c r="D58" s="29" t="n"/>
      <c r="E58" s="29" t="n"/>
      <c r="F58" s="29" t="n"/>
      <c r="G58" s="14">
        <f>IF(A58="","",IFERROR(MINIFS(Sales!$B$4:$B$151,Sales!$C$4:$C$151,A58),"—"))</f>
        <v/>
      </c>
      <c r="H58" s="14">
        <f>IF(A58="","",IFERROR(MAXIFS(Sales!$B$4:$B$151,Sales!$C$4:$C$151,A58),"—"))</f>
        <v/>
      </c>
      <c r="I58" s="13">
        <f>IF(A58="","",SUMIF(Sales!$C$4:$C$151,A58,Sales!$L$4:$L$151))</f>
        <v/>
      </c>
      <c r="J58" s="14">
        <f>IF(OR(A58="",I58=""),"",IF(I58&gt;=تنظیمات!$B$10,"A",IF(I58&gt;=تنظیمات!$B$11,"B","C")))</f>
        <v/>
      </c>
      <c r="K58" s="29" t="n"/>
      <c r="L58" s="29" t="n"/>
    </row>
    <row r="59" ht="20" customHeight="1">
      <c r="A59" s="29" t="n"/>
      <c r="B59" s="29" t="n"/>
      <c r="C59" s="29" t="n"/>
      <c r="D59" s="29" t="n"/>
      <c r="E59" s="29" t="n"/>
      <c r="F59" s="29" t="n"/>
      <c r="G59" s="14">
        <f>IF(A59="","",IFERROR(MINIFS(Sales!$B$4:$B$151,Sales!$C$4:$C$151,A59),"—"))</f>
        <v/>
      </c>
      <c r="H59" s="14">
        <f>IF(A59="","",IFERROR(MAXIFS(Sales!$B$4:$B$151,Sales!$C$4:$C$151,A59),"—"))</f>
        <v/>
      </c>
      <c r="I59" s="13">
        <f>IF(A59="","",SUMIF(Sales!$C$4:$C$151,A59,Sales!$L$4:$L$151))</f>
        <v/>
      </c>
      <c r="J59" s="14">
        <f>IF(OR(A59="",I59=""),"",IF(I59&gt;=تنظیمات!$B$10,"A",IF(I59&gt;=تنظیمات!$B$11,"B","C")))</f>
        <v/>
      </c>
      <c r="K59" s="29" t="n"/>
      <c r="L59" s="29" t="n"/>
    </row>
    <row r="60" ht="20" customHeight="1">
      <c r="A60" s="29" t="n"/>
      <c r="B60" s="29" t="n"/>
      <c r="C60" s="29" t="n"/>
      <c r="D60" s="29" t="n"/>
      <c r="E60" s="29" t="n"/>
      <c r="F60" s="29" t="n"/>
      <c r="G60" s="14">
        <f>IF(A60="","",IFERROR(MINIFS(Sales!$B$4:$B$151,Sales!$C$4:$C$151,A60),"—"))</f>
        <v/>
      </c>
      <c r="H60" s="14">
        <f>IF(A60="","",IFERROR(MAXIFS(Sales!$B$4:$B$151,Sales!$C$4:$C$151,A60),"—"))</f>
        <v/>
      </c>
      <c r="I60" s="13">
        <f>IF(A60="","",SUMIF(Sales!$C$4:$C$151,A60,Sales!$L$4:$L$151))</f>
        <v/>
      </c>
      <c r="J60" s="14">
        <f>IF(OR(A60="",I60=""),"",IF(I60&gt;=تنظیمات!$B$10,"A",IF(I60&gt;=تنظیمات!$B$11,"B","C")))</f>
        <v/>
      </c>
      <c r="K60" s="29" t="n"/>
      <c r="L60" s="29" t="n"/>
    </row>
    <row r="61" ht="20" customHeight="1">
      <c r="A61" s="29" t="n"/>
      <c r="B61" s="29" t="n"/>
      <c r="C61" s="29" t="n"/>
      <c r="D61" s="29" t="n"/>
      <c r="E61" s="29" t="n"/>
      <c r="F61" s="29" t="n"/>
      <c r="G61" s="14">
        <f>IF(A61="","",IFERROR(MINIFS(Sales!$B$4:$B$151,Sales!$C$4:$C$151,A61),"—"))</f>
        <v/>
      </c>
      <c r="H61" s="14">
        <f>IF(A61="","",IFERROR(MAXIFS(Sales!$B$4:$B$151,Sales!$C$4:$C$151,A61),"—"))</f>
        <v/>
      </c>
      <c r="I61" s="13">
        <f>IF(A61="","",SUMIF(Sales!$C$4:$C$151,A61,Sales!$L$4:$L$151))</f>
        <v/>
      </c>
      <c r="J61" s="14">
        <f>IF(OR(A61="",I61=""),"",IF(I61&gt;=تنظیمات!$B$10,"A",IF(I61&gt;=تنظیمات!$B$11,"B","C")))</f>
        <v/>
      </c>
      <c r="K61" s="29" t="n"/>
      <c r="L61" s="29" t="n"/>
    </row>
    <row r="62" ht="20" customHeight="1">
      <c r="A62" s="29" t="n"/>
      <c r="B62" s="29" t="n"/>
      <c r="C62" s="29" t="n"/>
      <c r="D62" s="29" t="n"/>
      <c r="E62" s="29" t="n"/>
      <c r="F62" s="29" t="n"/>
      <c r="G62" s="14">
        <f>IF(A62="","",IFERROR(MINIFS(Sales!$B$4:$B$151,Sales!$C$4:$C$151,A62),"—"))</f>
        <v/>
      </c>
      <c r="H62" s="14">
        <f>IF(A62="","",IFERROR(MAXIFS(Sales!$B$4:$B$151,Sales!$C$4:$C$151,A62),"—"))</f>
        <v/>
      </c>
      <c r="I62" s="13">
        <f>IF(A62="","",SUMIF(Sales!$C$4:$C$151,A62,Sales!$L$4:$L$151))</f>
        <v/>
      </c>
      <c r="J62" s="14">
        <f>IF(OR(A62="",I62=""),"",IF(I62&gt;=تنظیمات!$B$10,"A",IF(I62&gt;=تنظیمات!$B$11,"B","C")))</f>
        <v/>
      </c>
      <c r="K62" s="29" t="n"/>
      <c r="L62" s="29" t="n"/>
    </row>
    <row r="63" ht="20" customHeight="1">
      <c r="A63" s="29" t="n"/>
      <c r="B63" s="29" t="n"/>
      <c r="C63" s="29" t="n"/>
      <c r="D63" s="29" t="n"/>
      <c r="E63" s="29" t="n"/>
      <c r="F63" s="29" t="n"/>
      <c r="G63" s="14">
        <f>IF(A63="","",IFERROR(MINIFS(Sales!$B$4:$B$151,Sales!$C$4:$C$151,A63),"—"))</f>
        <v/>
      </c>
      <c r="H63" s="14">
        <f>IF(A63="","",IFERROR(MAXIFS(Sales!$B$4:$B$151,Sales!$C$4:$C$151,A63),"—"))</f>
        <v/>
      </c>
      <c r="I63" s="13">
        <f>IF(A63="","",SUMIF(Sales!$C$4:$C$151,A63,Sales!$L$4:$L$151))</f>
        <v/>
      </c>
      <c r="J63" s="14">
        <f>IF(OR(A63="",I63=""),"",IF(I63&gt;=تنظیمات!$B$10,"A",IF(I63&gt;=تنظیمات!$B$11,"B","C")))</f>
        <v/>
      </c>
      <c r="K63" s="29" t="n"/>
      <c r="L63" s="29" t="n"/>
    </row>
    <row r="64" ht="20" customHeight="1">
      <c r="A64" s="29" t="n"/>
      <c r="B64" s="29" t="n"/>
      <c r="C64" s="29" t="n"/>
      <c r="D64" s="29" t="n"/>
      <c r="E64" s="29" t="n"/>
      <c r="F64" s="29" t="n"/>
      <c r="G64" s="14">
        <f>IF(A64="","",IFERROR(MINIFS(Sales!$B$4:$B$151,Sales!$C$4:$C$151,A64),"—"))</f>
        <v/>
      </c>
      <c r="H64" s="14">
        <f>IF(A64="","",IFERROR(MAXIFS(Sales!$B$4:$B$151,Sales!$C$4:$C$151,A64),"—"))</f>
        <v/>
      </c>
      <c r="I64" s="13">
        <f>IF(A64="","",SUMIF(Sales!$C$4:$C$151,A64,Sales!$L$4:$L$151))</f>
        <v/>
      </c>
      <c r="J64" s="14">
        <f>IF(OR(A64="",I64=""),"",IF(I64&gt;=تنظیمات!$B$10,"A",IF(I64&gt;=تنظیمات!$B$11,"B","C")))</f>
        <v/>
      </c>
      <c r="K64" s="29" t="n"/>
      <c r="L64" s="29" t="n"/>
    </row>
    <row r="65" ht="20" customHeight="1">
      <c r="A65" s="29" t="n"/>
      <c r="B65" s="29" t="n"/>
      <c r="C65" s="29" t="n"/>
      <c r="D65" s="29" t="n"/>
      <c r="E65" s="29" t="n"/>
      <c r="F65" s="29" t="n"/>
      <c r="G65" s="14">
        <f>IF(A65="","",IFERROR(MINIFS(Sales!$B$4:$B$151,Sales!$C$4:$C$151,A65),"—"))</f>
        <v/>
      </c>
      <c r="H65" s="14">
        <f>IF(A65="","",IFERROR(MAXIFS(Sales!$B$4:$B$151,Sales!$C$4:$C$151,A65),"—"))</f>
        <v/>
      </c>
      <c r="I65" s="13">
        <f>IF(A65="","",SUMIF(Sales!$C$4:$C$151,A65,Sales!$L$4:$L$151))</f>
        <v/>
      </c>
      <c r="J65" s="14">
        <f>IF(OR(A65="",I65=""),"",IF(I65&gt;=تنظیمات!$B$10,"A",IF(I65&gt;=تنظیمات!$B$11,"B","C")))</f>
        <v/>
      </c>
      <c r="K65" s="29" t="n"/>
      <c r="L65" s="29" t="n"/>
    </row>
    <row r="66" ht="20" customHeight="1">
      <c r="A66" s="29" t="n"/>
      <c r="B66" s="29" t="n"/>
      <c r="C66" s="29" t="n"/>
      <c r="D66" s="29" t="n"/>
      <c r="E66" s="29" t="n"/>
      <c r="F66" s="29" t="n"/>
      <c r="G66" s="14">
        <f>IF(A66="","",IFERROR(MINIFS(Sales!$B$4:$B$151,Sales!$C$4:$C$151,A66),"—"))</f>
        <v/>
      </c>
      <c r="H66" s="14">
        <f>IF(A66="","",IFERROR(MAXIFS(Sales!$B$4:$B$151,Sales!$C$4:$C$151,A66),"—"))</f>
        <v/>
      </c>
      <c r="I66" s="13">
        <f>IF(A66="","",SUMIF(Sales!$C$4:$C$151,A66,Sales!$L$4:$L$151))</f>
        <v/>
      </c>
      <c r="J66" s="14">
        <f>IF(OR(A66="",I66=""),"",IF(I66&gt;=تنظیمات!$B$10,"A",IF(I66&gt;=تنظیمات!$B$11,"B","C")))</f>
        <v/>
      </c>
      <c r="K66" s="29" t="n"/>
      <c r="L66" s="29" t="n"/>
    </row>
    <row r="67" ht="20" customHeight="1">
      <c r="A67" s="29" t="n"/>
      <c r="B67" s="29" t="n"/>
      <c r="C67" s="29" t="n"/>
      <c r="D67" s="29" t="n"/>
      <c r="E67" s="29" t="n"/>
      <c r="F67" s="29" t="n"/>
      <c r="G67" s="14">
        <f>IF(A67="","",IFERROR(MINIFS(Sales!$B$4:$B$151,Sales!$C$4:$C$151,A67),"—"))</f>
        <v/>
      </c>
      <c r="H67" s="14">
        <f>IF(A67="","",IFERROR(MAXIFS(Sales!$B$4:$B$151,Sales!$C$4:$C$151,A67),"—"))</f>
        <v/>
      </c>
      <c r="I67" s="13">
        <f>IF(A67="","",SUMIF(Sales!$C$4:$C$151,A67,Sales!$L$4:$L$151))</f>
        <v/>
      </c>
      <c r="J67" s="14">
        <f>IF(OR(A67="",I67=""),"",IF(I67&gt;=تنظیمات!$B$10,"A",IF(I67&gt;=تنظیمات!$B$11,"B","C")))</f>
        <v/>
      </c>
      <c r="K67" s="29" t="n"/>
      <c r="L67" s="29" t="n"/>
    </row>
    <row r="68" ht="20" customHeight="1">
      <c r="A68" s="29" t="n"/>
      <c r="B68" s="29" t="n"/>
      <c r="C68" s="29" t="n"/>
      <c r="D68" s="29" t="n"/>
      <c r="E68" s="29" t="n"/>
      <c r="F68" s="29" t="n"/>
      <c r="G68" s="14">
        <f>IF(A68="","",IFERROR(MINIFS(Sales!$B$4:$B$151,Sales!$C$4:$C$151,A68),"—"))</f>
        <v/>
      </c>
      <c r="H68" s="14">
        <f>IF(A68="","",IFERROR(MAXIFS(Sales!$B$4:$B$151,Sales!$C$4:$C$151,A68),"—"))</f>
        <v/>
      </c>
      <c r="I68" s="13">
        <f>IF(A68="","",SUMIF(Sales!$C$4:$C$151,A68,Sales!$L$4:$L$151))</f>
        <v/>
      </c>
      <c r="J68" s="14">
        <f>IF(OR(A68="",I68=""),"",IF(I68&gt;=تنظیمات!$B$10,"A",IF(I68&gt;=تنظیمات!$B$11,"B","C")))</f>
        <v/>
      </c>
      <c r="K68" s="29" t="n"/>
      <c r="L68" s="29" t="n"/>
    </row>
    <row r="69" ht="20" customHeight="1">
      <c r="A69" s="29" t="n"/>
      <c r="B69" s="29" t="n"/>
      <c r="C69" s="29" t="n"/>
      <c r="D69" s="29" t="n"/>
      <c r="E69" s="29" t="n"/>
      <c r="F69" s="29" t="n"/>
      <c r="G69" s="14">
        <f>IF(A69="","",IFERROR(MINIFS(Sales!$B$4:$B$151,Sales!$C$4:$C$151,A69),"—"))</f>
        <v/>
      </c>
      <c r="H69" s="14">
        <f>IF(A69="","",IFERROR(MAXIFS(Sales!$B$4:$B$151,Sales!$C$4:$C$151,A69),"—"))</f>
        <v/>
      </c>
      <c r="I69" s="13">
        <f>IF(A69="","",SUMIF(Sales!$C$4:$C$151,A69,Sales!$L$4:$L$151))</f>
        <v/>
      </c>
      <c r="J69" s="14">
        <f>IF(OR(A69="",I69=""),"",IF(I69&gt;=تنظیمات!$B$10,"A",IF(I69&gt;=تنظیمات!$B$11,"B","C")))</f>
        <v/>
      </c>
      <c r="K69" s="29" t="n"/>
      <c r="L69" s="29" t="n"/>
    </row>
    <row r="70" ht="20" customHeight="1">
      <c r="A70" s="29" t="n"/>
      <c r="B70" s="29" t="n"/>
      <c r="C70" s="29" t="n"/>
      <c r="D70" s="29" t="n"/>
      <c r="E70" s="29" t="n"/>
      <c r="F70" s="29" t="n"/>
      <c r="G70" s="14">
        <f>IF(A70="","",IFERROR(MINIFS(Sales!$B$4:$B$151,Sales!$C$4:$C$151,A70),"—"))</f>
        <v/>
      </c>
      <c r="H70" s="14">
        <f>IF(A70="","",IFERROR(MAXIFS(Sales!$B$4:$B$151,Sales!$C$4:$C$151,A70),"—"))</f>
        <v/>
      </c>
      <c r="I70" s="13">
        <f>IF(A70="","",SUMIF(Sales!$C$4:$C$151,A70,Sales!$L$4:$L$151))</f>
        <v/>
      </c>
      <c r="J70" s="14">
        <f>IF(OR(A70="",I70=""),"",IF(I70&gt;=تنظیمات!$B$10,"A",IF(I70&gt;=تنظیمات!$B$11,"B","C")))</f>
        <v/>
      </c>
      <c r="K70" s="29" t="n"/>
      <c r="L70" s="29" t="n"/>
    </row>
    <row r="71" ht="20" customHeight="1">
      <c r="A71" s="29" t="n"/>
      <c r="B71" s="29" t="n"/>
      <c r="C71" s="29" t="n"/>
      <c r="D71" s="29" t="n"/>
      <c r="E71" s="29" t="n"/>
      <c r="F71" s="29" t="n"/>
      <c r="G71" s="14">
        <f>IF(A71="","",IFERROR(MINIFS(Sales!$B$4:$B$151,Sales!$C$4:$C$151,A71),"—"))</f>
        <v/>
      </c>
      <c r="H71" s="14">
        <f>IF(A71="","",IFERROR(MAXIFS(Sales!$B$4:$B$151,Sales!$C$4:$C$151,A71),"—"))</f>
        <v/>
      </c>
      <c r="I71" s="13">
        <f>IF(A71="","",SUMIF(Sales!$C$4:$C$151,A71,Sales!$L$4:$L$151))</f>
        <v/>
      </c>
      <c r="J71" s="14">
        <f>IF(OR(A71="",I71=""),"",IF(I71&gt;=تنظیمات!$B$10,"A",IF(I71&gt;=تنظیمات!$B$11,"B","C")))</f>
        <v/>
      </c>
      <c r="K71" s="29" t="n"/>
      <c r="L71" s="29" t="n"/>
    </row>
    <row r="72" ht="20" customHeight="1">
      <c r="A72" s="29" t="n"/>
      <c r="B72" s="29" t="n"/>
      <c r="C72" s="29" t="n"/>
      <c r="D72" s="29" t="n"/>
      <c r="E72" s="29" t="n"/>
      <c r="F72" s="29" t="n"/>
      <c r="G72" s="14">
        <f>IF(A72="","",IFERROR(MINIFS(Sales!$B$4:$B$151,Sales!$C$4:$C$151,A72),"—"))</f>
        <v/>
      </c>
      <c r="H72" s="14">
        <f>IF(A72="","",IFERROR(MAXIFS(Sales!$B$4:$B$151,Sales!$C$4:$C$151,A72),"—"))</f>
        <v/>
      </c>
      <c r="I72" s="13">
        <f>IF(A72="","",SUMIF(Sales!$C$4:$C$151,A72,Sales!$L$4:$L$151))</f>
        <v/>
      </c>
      <c r="J72" s="14">
        <f>IF(OR(A72="",I72=""),"",IF(I72&gt;=تنظیمات!$B$10,"A",IF(I72&gt;=تنظیمات!$B$11,"B","C")))</f>
        <v/>
      </c>
      <c r="K72" s="29" t="n"/>
      <c r="L72" s="29" t="n"/>
    </row>
    <row r="73" ht="20" customHeight="1">
      <c r="A73" s="29" t="n"/>
      <c r="B73" s="29" t="n"/>
      <c r="C73" s="29" t="n"/>
      <c r="D73" s="29" t="n"/>
      <c r="E73" s="29" t="n"/>
      <c r="F73" s="29" t="n"/>
      <c r="G73" s="14">
        <f>IF(A73="","",IFERROR(MINIFS(Sales!$B$4:$B$151,Sales!$C$4:$C$151,A73),"—"))</f>
        <v/>
      </c>
      <c r="H73" s="14">
        <f>IF(A73="","",IFERROR(MAXIFS(Sales!$B$4:$B$151,Sales!$C$4:$C$151,A73),"—"))</f>
        <v/>
      </c>
      <c r="I73" s="13">
        <f>IF(A73="","",SUMIF(Sales!$C$4:$C$151,A73,Sales!$L$4:$L$151))</f>
        <v/>
      </c>
      <c r="J73" s="14">
        <f>IF(OR(A73="",I73=""),"",IF(I73&gt;=تنظیمات!$B$10,"A",IF(I73&gt;=تنظیمات!$B$11,"B","C")))</f>
        <v/>
      </c>
      <c r="K73" s="29" t="n"/>
      <c r="L73" s="29" t="n"/>
    </row>
    <row r="74" ht="20" customHeight="1">
      <c r="A74" s="29" t="n"/>
      <c r="B74" s="29" t="n"/>
      <c r="C74" s="29" t="n"/>
      <c r="D74" s="29" t="n"/>
      <c r="E74" s="29" t="n"/>
      <c r="F74" s="29" t="n"/>
      <c r="G74" s="14">
        <f>IF(A74="","",IFERROR(MINIFS(Sales!$B$4:$B$151,Sales!$C$4:$C$151,A74),"—"))</f>
        <v/>
      </c>
      <c r="H74" s="14">
        <f>IF(A74="","",IFERROR(MAXIFS(Sales!$B$4:$B$151,Sales!$C$4:$C$151,A74),"—"))</f>
        <v/>
      </c>
      <c r="I74" s="13">
        <f>IF(A74="","",SUMIF(Sales!$C$4:$C$151,A74,Sales!$L$4:$L$151))</f>
        <v/>
      </c>
      <c r="J74" s="14">
        <f>IF(OR(A74="",I74=""),"",IF(I74&gt;=تنظیمات!$B$10,"A",IF(I74&gt;=تنظیمات!$B$11,"B","C")))</f>
        <v/>
      </c>
      <c r="K74" s="29" t="n"/>
      <c r="L74" s="29" t="n"/>
    </row>
    <row r="75" ht="20" customHeight="1">
      <c r="A75" s="29" t="n"/>
      <c r="B75" s="29" t="n"/>
      <c r="C75" s="29" t="n"/>
      <c r="D75" s="29" t="n"/>
      <c r="E75" s="29" t="n"/>
      <c r="F75" s="29" t="n"/>
      <c r="G75" s="14">
        <f>IF(A75="","",IFERROR(MINIFS(Sales!$B$4:$B$151,Sales!$C$4:$C$151,A75),"—"))</f>
        <v/>
      </c>
      <c r="H75" s="14">
        <f>IF(A75="","",IFERROR(MAXIFS(Sales!$B$4:$B$151,Sales!$C$4:$C$151,A75),"—"))</f>
        <v/>
      </c>
      <c r="I75" s="13">
        <f>IF(A75="","",SUMIF(Sales!$C$4:$C$151,A75,Sales!$L$4:$L$151))</f>
        <v/>
      </c>
      <c r="J75" s="14">
        <f>IF(OR(A75="",I75=""),"",IF(I75&gt;=تنظیمات!$B$10,"A",IF(I75&gt;=تنظیمات!$B$11,"B","C")))</f>
        <v/>
      </c>
      <c r="K75" s="29" t="n"/>
      <c r="L75" s="29" t="n"/>
    </row>
    <row r="76" ht="20" customHeight="1">
      <c r="A76" s="29" t="n"/>
      <c r="B76" s="29" t="n"/>
      <c r="C76" s="29" t="n"/>
      <c r="D76" s="29" t="n"/>
      <c r="E76" s="29" t="n"/>
      <c r="F76" s="29" t="n"/>
      <c r="G76" s="14">
        <f>IF(A76="","",IFERROR(MINIFS(Sales!$B$4:$B$151,Sales!$C$4:$C$151,A76),"—"))</f>
        <v/>
      </c>
      <c r="H76" s="14">
        <f>IF(A76="","",IFERROR(MAXIFS(Sales!$B$4:$B$151,Sales!$C$4:$C$151,A76),"—"))</f>
        <v/>
      </c>
      <c r="I76" s="13">
        <f>IF(A76="","",SUMIF(Sales!$C$4:$C$151,A76,Sales!$L$4:$L$151))</f>
        <v/>
      </c>
      <c r="J76" s="14">
        <f>IF(OR(A76="",I76=""),"",IF(I76&gt;=تنظیمات!$B$10,"A",IF(I76&gt;=تنظیمات!$B$11,"B","C")))</f>
        <v/>
      </c>
      <c r="K76" s="29" t="n"/>
      <c r="L76" s="29" t="n"/>
    </row>
    <row r="77" ht="20" customHeight="1">
      <c r="A77" s="29" t="n"/>
      <c r="B77" s="29" t="n"/>
      <c r="C77" s="29" t="n"/>
      <c r="D77" s="29" t="n"/>
      <c r="E77" s="29" t="n"/>
      <c r="F77" s="29" t="n"/>
      <c r="G77" s="14">
        <f>IF(A77="","",IFERROR(MINIFS(Sales!$B$4:$B$151,Sales!$C$4:$C$151,A77),"—"))</f>
        <v/>
      </c>
      <c r="H77" s="14">
        <f>IF(A77="","",IFERROR(MAXIFS(Sales!$B$4:$B$151,Sales!$C$4:$C$151,A77),"—"))</f>
        <v/>
      </c>
      <c r="I77" s="13">
        <f>IF(A77="","",SUMIF(Sales!$C$4:$C$151,A77,Sales!$L$4:$L$151))</f>
        <v/>
      </c>
      <c r="J77" s="14">
        <f>IF(OR(A77="",I77=""),"",IF(I77&gt;=تنظیمات!$B$10,"A",IF(I77&gt;=تنظیمات!$B$11,"B","C")))</f>
        <v/>
      </c>
      <c r="K77" s="29" t="n"/>
      <c r="L77" s="29" t="n"/>
    </row>
    <row r="78" ht="20" customHeight="1">
      <c r="A78" s="29" t="n"/>
      <c r="B78" s="29" t="n"/>
      <c r="C78" s="29" t="n"/>
      <c r="D78" s="29" t="n"/>
      <c r="E78" s="29" t="n"/>
      <c r="F78" s="29" t="n"/>
      <c r="G78" s="14">
        <f>IF(A78="","",IFERROR(MINIFS(Sales!$B$4:$B$151,Sales!$C$4:$C$151,A78),"—"))</f>
        <v/>
      </c>
      <c r="H78" s="14">
        <f>IF(A78="","",IFERROR(MAXIFS(Sales!$B$4:$B$151,Sales!$C$4:$C$151,A78),"—"))</f>
        <v/>
      </c>
      <c r="I78" s="13">
        <f>IF(A78="","",SUMIF(Sales!$C$4:$C$151,A78,Sales!$L$4:$L$151))</f>
        <v/>
      </c>
      <c r="J78" s="14">
        <f>IF(OR(A78="",I78=""),"",IF(I78&gt;=تنظیمات!$B$10,"A",IF(I78&gt;=تنظیمات!$B$11,"B","C")))</f>
        <v/>
      </c>
      <c r="K78" s="29" t="n"/>
      <c r="L78" s="29" t="n"/>
    </row>
    <row r="79" ht="20" customHeight="1">
      <c r="A79" s="29" t="n"/>
      <c r="B79" s="29" t="n"/>
      <c r="C79" s="29" t="n"/>
      <c r="D79" s="29" t="n"/>
      <c r="E79" s="29" t="n"/>
      <c r="F79" s="29" t="n"/>
      <c r="G79" s="14">
        <f>IF(A79="","",IFERROR(MINIFS(Sales!$B$4:$B$151,Sales!$C$4:$C$151,A79),"—"))</f>
        <v/>
      </c>
      <c r="H79" s="14">
        <f>IF(A79="","",IFERROR(MAXIFS(Sales!$B$4:$B$151,Sales!$C$4:$C$151,A79),"—"))</f>
        <v/>
      </c>
      <c r="I79" s="13">
        <f>IF(A79="","",SUMIF(Sales!$C$4:$C$151,A79,Sales!$L$4:$L$151))</f>
        <v/>
      </c>
      <c r="J79" s="14">
        <f>IF(OR(A79="",I79=""),"",IF(I79&gt;=تنظیمات!$B$10,"A",IF(I79&gt;=تنظیمات!$B$11,"B","C")))</f>
        <v/>
      </c>
      <c r="K79" s="29" t="n"/>
      <c r="L79" s="29" t="n"/>
    </row>
    <row r="80" ht="20" customHeight="1">
      <c r="A80" s="29" t="n"/>
      <c r="B80" s="29" t="n"/>
      <c r="C80" s="29" t="n"/>
      <c r="D80" s="29" t="n"/>
      <c r="E80" s="29" t="n"/>
      <c r="F80" s="29" t="n"/>
      <c r="G80" s="14">
        <f>IF(A80="","",IFERROR(MINIFS(Sales!$B$4:$B$151,Sales!$C$4:$C$151,A80),"—"))</f>
        <v/>
      </c>
      <c r="H80" s="14">
        <f>IF(A80="","",IFERROR(MAXIFS(Sales!$B$4:$B$151,Sales!$C$4:$C$151,A80),"—"))</f>
        <v/>
      </c>
      <c r="I80" s="13">
        <f>IF(A80="","",SUMIF(Sales!$C$4:$C$151,A80,Sales!$L$4:$L$151))</f>
        <v/>
      </c>
      <c r="J80" s="14">
        <f>IF(OR(A80="",I80=""),"",IF(I80&gt;=تنظیمات!$B$10,"A",IF(I80&gt;=تنظیمات!$B$11,"B","C")))</f>
        <v/>
      </c>
      <c r="K80" s="29" t="n"/>
      <c r="L80" s="29" t="n"/>
    </row>
    <row r="81" ht="20" customHeight="1">
      <c r="A81" s="29" t="n"/>
      <c r="B81" s="29" t="n"/>
      <c r="C81" s="29" t="n"/>
      <c r="D81" s="29" t="n"/>
      <c r="E81" s="29" t="n"/>
      <c r="F81" s="29" t="n"/>
      <c r="G81" s="14">
        <f>IF(A81="","",IFERROR(MINIFS(Sales!$B$4:$B$151,Sales!$C$4:$C$151,A81),"—"))</f>
        <v/>
      </c>
      <c r="H81" s="14">
        <f>IF(A81="","",IFERROR(MAXIFS(Sales!$B$4:$B$151,Sales!$C$4:$C$151,A81),"—"))</f>
        <v/>
      </c>
      <c r="I81" s="13">
        <f>IF(A81="","",SUMIF(Sales!$C$4:$C$151,A81,Sales!$L$4:$L$151))</f>
        <v/>
      </c>
      <c r="J81" s="14">
        <f>IF(OR(A81="",I81=""),"",IF(I81&gt;=تنظیمات!$B$10,"A",IF(I81&gt;=تنظیمات!$B$11,"B","C")))</f>
        <v/>
      </c>
      <c r="K81" s="29" t="n"/>
      <c r="L81" s="29" t="n"/>
    </row>
    <row r="82" ht="20" customHeight="1">
      <c r="A82" s="29" t="n"/>
      <c r="B82" s="29" t="n"/>
      <c r="C82" s="29" t="n"/>
      <c r="D82" s="29" t="n"/>
      <c r="E82" s="29" t="n"/>
      <c r="F82" s="29" t="n"/>
      <c r="G82" s="14">
        <f>IF(A82="","",IFERROR(MINIFS(Sales!$B$4:$B$151,Sales!$C$4:$C$151,A82),"—"))</f>
        <v/>
      </c>
      <c r="H82" s="14">
        <f>IF(A82="","",IFERROR(MAXIFS(Sales!$B$4:$B$151,Sales!$C$4:$C$151,A82),"—"))</f>
        <v/>
      </c>
      <c r="I82" s="13">
        <f>IF(A82="","",SUMIF(Sales!$C$4:$C$151,A82,Sales!$L$4:$L$151))</f>
        <v/>
      </c>
      <c r="J82" s="14">
        <f>IF(OR(A82="",I82=""),"",IF(I82&gt;=تنظیمات!$B$10,"A",IF(I82&gt;=تنظیمات!$B$11,"B","C")))</f>
        <v/>
      </c>
      <c r="K82" s="29" t="n"/>
      <c r="L82" s="29" t="n"/>
    </row>
    <row r="83" ht="20" customHeight="1">
      <c r="A83" s="29" t="n"/>
      <c r="B83" s="29" t="n"/>
      <c r="C83" s="29" t="n"/>
      <c r="D83" s="29" t="n"/>
      <c r="E83" s="29" t="n"/>
      <c r="F83" s="29" t="n"/>
      <c r="G83" s="14">
        <f>IF(A83="","",IFERROR(MINIFS(Sales!$B$4:$B$151,Sales!$C$4:$C$151,A83),"—"))</f>
        <v/>
      </c>
      <c r="H83" s="14">
        <f>IF(A83="","",IFERROR(MAXIFS(Sales!$B$4:$B$151,Sales!$C$4:$C$151,A83),"—"))</f>
        <v/>
      </c>
      <c r="I83" s="13">
        <f>IF(A83="","",SUMIF(Sales!$C$4:$C$151,A83,Sales!$L$4:$L$151))</f>
        <v/>
      </c>
      <c r="J83" s="14">
        <f>IF(OR(A83="",I83=""),"",IF(I83&gt;=تنظیمات!$B$10,"A",IF(I83&gt;=تنظیمات!$B$11,"B","C")))</f>
        <v/>
      </c>
      <c r="K83" s="29" t="n"/>
      <c r="L83" s="29" t="n"/>
    </row>
    <row r="84" ht="20" customHeight="1">
      <c r="A84" s="29" t="n"/>
      <c r="B84" s="29" t="n"/>
      <c r="C84" s="29" t="n"/>
      <c r="D84" s="29" t="n"/>
      <c r="E84" s="29" t="n"/>
      <c r="F84" s="29" t="n"/>
      <c r="G84" s="14">
        <f>IF(A84="","",IFERROR(MINIFS(Sales!$B$4:$B$151,Sales!$C$4:$C$151,A84),"—"))</f>
        <v/>
      </c>
      <c r="H84" s="14">
        <f>IF(A84="","",IFERROR(MAXIFS(Sales!$B$4:$B$151,Sales!$C$4:$C$151,A84),"—"))</f>
        <v/>
      </c>
      <c r="I84" s="13">
        <f>IF(A84="","",SUMIF(Sales!$C$4:$C$151,A84,Sales!$L$4:$L$151))</f>
        <v/>
      </c>
      <c r="J84" s="14">
        <f>IF(OR(A84="",I84=""),"",IF(I84&gt;=تنظیمات!$B$10,"A",IF(I84&gt;=تنظیمات!$B$11,"B","C")))</f>
        <v/>
      </c>
      <c r="K84" s="29" t="n"/>
      <c r="L84" s="29" t="n"/>
    </row>
    <row r="85" ht="20" customHeight="1">
      <c r="A85" s="29" t="n"/>
      <c r="B85" s="29" t="n"/>
      <c r="C85" s="29" t="n"/>
      <c r="D85" s="29" t="n"/>
      <c r="E85" s="29" t="n"/>
      <c r="F85" s="29" t="n"/>
      <c r="G85" s="14">
        <f>IF(A85="","",IFERROR(MINIFS(Sales!$B$4:$B$151,Sales!$C$4:$C$151,A85),"—"))</f>
        <v/>
      </c>
      <c r="H85" s="14">
        <f>IF(A85="","",IFERROR(MAXIFS(Sales!$B$4:$B$151,Sales!$C$4:$C$151,A85),"—"))</f>
        <v/>
      </c>
      <c r="I85" s="13">
        <f>IF(A85="","",SUMIF(Sales!$C$4:$C$151,A85,Sales!$L$4:$L$151))</f>
        <v/>
      </c>
      <c r="J85" s="14">
        <f>IF(OR(A85="",I85=""),"",IF(I85&gt;=تنظیمات!$B$10,"A",IF(I85&gt;=تنظیمات!$B$11,"B","C")))</f>
        <v/>
      </c>
      <c r="K85" s="29" t="n"/>
      <c r="L85" s="29" t="n"/>
    </row>
    <row r="86" ht="20" customHeight="1">
      <c r="A86" s="29" t="n"/>
      <c r="B86" s="29" t="n"/>
      <c r="C86" s="29" t="n"/>
      <c r="D86" s="29" t="n"/>
      <c r="E86" s="29" t="n"/>
      <c r="F86" s="29" t="n"/>
      <c r="G86" s="14">
        <f>IF(A86="","",IFERROR(MINIFS(Sales!$B$4:$B$151,Sales!$C$4:$C$151,A86),"—"))</f>
        <v/>
      </c>
      <c r="H86" s="14">
        <f>IF(A86="","",IFERROR(MAXIFS(Sales!$B$4:$B$151,Sales!$C$4:$C$151,A86),"—"))</f>
        <v/>
      </c>
      <c r="I86" s="13">
        <f>IF(A86="","",SUMIF(Sales!$C$4:$C$151,A86,Sales!$L$4:$L$151))</f>
        <v/>
      </c>
      <c r="J86" s="14">
        <f>IF(OR(A86="",I86=""),"",IF(I86&gt;=تنظیمات!$B$10,"A",IF(I86&gt;=تنظیمات!$B$11,"B","C")))</f>
        <v/>
      </c>
      <c r="K86" s="29" t="n"/>
      <c r="L86" s="29" t="n"/>
    </row>
    <row r="87" ht="20" customHeight="1">
      <c r="A87" s="29" t="n"/>
      <c r="B87" s="29" t="n"/>
      <c r="C87" s="29" t="n"/>
      <c r="D87" s="29" t="n"/>
      <c r="E87" s="29" t="n"/>
      <c r="F87" s="29" t="n"/>
      <c r="G87" s="14">
        <f>IF(A87="","",IFERROR(MINIFS(Sales!$B$4:$B$151,Sales!$C$4:$C$151,A87),"—"))</f>
        <v/>
      </c>
      <c r="H87" s="14">
        <f>IF(A87="","",IFERROR(MAXIFS(Sales!$B$4:$B$151,Sales!$C$4:$C$151,A87),"—"))</f>
        <v/>
      </c>
      <c r="I87" s="13">
        <f>IF(A87="","",SUMIF(Sales!$C$4:$C$151,A87,Sales!$L$4:$L$151))</f>
        <v/>
      </c>
      <c r="J87" s="14">
        <f>IF(OR(A87="",I87=""),"",IF(I87&gt;=تنظیمات!$B$10,"A",IF(I87&gt;=تنظیمات!$B$11,"B","C")))</f>
        <v/>
      </c>
      <c r="K87" s="29" t="n"/>
      <c r="L87" s="29" t="n"/>
    </row>
    <row r="88" ht="20" customHeight="1">
      <c r="A88" s="29" t="n"/>
      <c r="B88" s="29" t="n"/>
      <c r="C88" s="29" t="n"/>
      <c r="D88" s="29" t="n"/>
      <c r="E88" s="29" t="n"/>
      <c r="F88" s="29" t="n"/>
      <c r="G88" s="14">
        <f>IF(A88="","",IFERROR(MINIFS(Sales!$B$4:$B$151,Sales!$C$4:$C$151,A88),"—"))</f>
        <v/>
      </c>
      <c r="H88" s="14">
        <f>IF(A88="","",IFERROR(MAXIFS(Sales!$B$4:$B$151,Sales!$C$4:$C$151,A88),"—"))</f>
        <v/>
      </c>
      <c r="I88" s="13">
        <f>IF(A88="","",SUMIF(Sales!$C$4:$C$151,A88,Sales!$L$4:$L$151))</f>
        <v/>
      </c>
      <c r="J88" s="14">
        <f>IF(OR(A88="",I88=""),"",IF(I88&gt;=تنظیمات!$B$10,"A",IF(I88&gt;=تنظیمات!$B$11,"B","C")))</f>
        <v/>
      </c>
      <c r="K88" s="29" t="n"/>
      <c r="L88" s="29" t="n"/>
    </row>
    <row r="89" ht="20" customHeight="1">
      <c r="A89" s="29" t="n"/>
      <c r="B89" s="29" t="n"/>
      <c r="C89" s="29" t="n"/>
      <c r="D89" s="29" t="n"/>
      <c r="E89" s="29" t="n"/>
      <c r="F89" s="29" t="n"/>
      <c r="G89" s="14">
        <f>IF(A89="","",IFERROR(MINIFS(Sales!$B$4:$B$151,Sales!$C$4:$C$151,A89),"—"))</f>
        <v/>
      </c>
      <c r="H89" s="14">
        <f>IF(A89="","",IFERROR(MAXIFS(Sales!$B$4:$B$151,Sales!$C$4:$C$151,A89),"—"))</f>
        <v/>
      </c>
      <c r="I89" s="13">
        <f>IF(A89="","",SUMIF(Sales!$C$4:$C$151,A89,Sales!$L$4:$L$151))</f>
        <v/>
      </c>
      <c r="J89" s="14">
        <f>IF(OR(A89="",I89=""),"",IF(I89&gt;=تنظیمات!$B$10,"A",IF(I89&gt;=تنظیمات!$B$11,"B","C")))</f>
        <v/>
      </c>
      <c r="K89" s="29" t="n"/>
      <c r="L89" s="29" t="n"/>
    </row>
    <row r="90" ht="20" customHeight="1">
      <c r="A90" s="29" t="n"/>
      <c r="B90" s="29" t="n"/>
      <c r="C90" s="29" t="n"/>
      <c r="D90" s="29" t="n"/>
      <c r="E90" s="29" t="n"/>
      <c r="F90" s="29" t="n"/>
      <c r="G90" s="14">
        <f>IF(A90="","",IFERROR(MINIFS(Sales!$B$4:$B$151,Sales!$C$4:$C$151,A90),"—"))</f>
        <v/>
      </c>
      <c r="H90" s="14">
        <f>IF(A90="","",IFERROR(MAXIFS(Sales!$B$4:$B$151,Sales!$C$4:$C$151,A90),"—"))</f>
        <v/>
      </c>
      <c r="I90" s="13">
        <f>IF(A90="","",SUMIF(Sales!$C$4:$C$151,A90,Sales!$L$4:$L$151))</f>
        <v/>
      </c>
      <c r="J90" s="14">
        <f>IF(OR(A90="",I90=""),"",IF(I90&gt;=تنظیمات!$B$10,"A",IF(I90&gt;=تنظیمات!$B$11,"B","C")))</f>
        <v/>
      </c>
      <c r="K90" s="29" t="n"/>
      <c r="L90" s="29" t="n"/>
    </row>
    <row r="91" ht="20" customHeight="1">
      <c r="A91" s="29" t="n"/>
      <c r="B91" s="29" t="n"/>
      <c r="C91" s="29" t="n"/>
      <c r="D91" s="29" t="n"/>
      <c r="E91" s="29" t="n"/>
      <c r="F91" s="29" t="n"/>
      <c r="G91" s="14">
        <f>IF(A91="","",IFERROR(MINIFS(Sales!$B$4:$B$151,Sales!$C$4:$C$151,A91),"—"))</f>
        <v/>
      </c>
      <c r="H91" s="14">
        <f>IF(A91="","",IFERROR(MAXIFS(Sales!$B$4:$B$151,Sales!$C$4:$C$151,A91),"—"))</f>
        <v/>
      </c>
      <c r="I91" s="13">
        <f>IF(A91="","",SUMIF(Sales!$C$4:$C$151,A91,Sales!$L$4:$L$151))</f>
        <v/>
      </c>
      <c r="J91" s="14">
        <f>IF(OR(A91="",I91=""),"",IF(I91&gt;=تنظیمات!$B$10,"A",IF(I91&gt;=تنظیمات!$B$11,"B","C")))</f>
        <v/>
      </c>
      <c r="K91" s="29" t="n"/>
      <c r="L91" s="29" t="n"/>
    </row>
    <row r="92" ht="20" customHeight="1">
      <c r="A92" s="29" t="n"/>
      <c r="B92" s="29" t="n"/>
      <c r="C92" s="29" t="n"/>
      <c r="D92" s="29" t="n"/>
      <c r="E92" s="29" t="n"/>
      <c r="F92" s="29" t="n"/>
      <c r="G92" s="14">
        <f>IF(A92="","",IFERROR(MINIFS(Sales!$B$4:$B$151,Sales!$C$4:$C$151,A92),"—"))</f>
        <v/>
      </c>
      <c r="H92" s="14">
        <f>IF(A92="","",IFERROR(MAXIFS(Sales!$B$4:$B$151,Sales!$C$4:$C$151,A92),"—"))</f>
        <v/>
      </c>
      <c r="I92" s="13">
        <f>IF(A92="","",SUMIF(Sales!$C$4:$C$151,A92,Sales!$L$4:$L$151))</f>
        <v/>
      </c>
      <c r="J92" s="14">
        <f>IF(OR(A92="",I92=""),"",IF(I92&gt;=تنظیمات!$B$10,"A",IF(I92&gt;=تنظیمات!$B$11,"B","C")))</f>
        <v/>
      </c>
      <c r="K92" s="29" t="n"/>
      <c r="L92" s="29" t="n"/>
    </row>
    <row r="93" ht="20" customHeight="1">
      <c r="A93" s="29" t="n"/>
      <c r="B93" s="29" t="n"/>
      <c r="C93" s="29" t="n"/>
      <c r="D93" s="29" t="n"/>
      <c r="E93" s="29" t="n"/>
      <c r="F93" s="29" t="n"/>
      <c r="G93" s="14">
        <f>IF(A93="","",IFERROR(MINIFS(Sales!$B$4:$B$151,Sales!$C$4:$C$151,A93),"—"))</f>
        <v/>
      </c>
      <c r="H93" s="14">
        <f>IF(A93="","",IFERROR(MAXIFS(Sales!$B$4:$B$151,Sales!$C$4:$C$151,A93),"—"))</f>
        <v/>
      </c>
      <c r="I93" s="13">
        <f>IF(A93="","",SUMIF(Sales!$C$4:$C$151,A93,Sales!$L$4:$L$151))</f>
        <v/>
      </c>
      <c r="J93" s="14">
        <f>IF(OR(A93="",I93=""),"",IF(I93&gt;=تنظیمات!$B$10,"A",IF(I93&gt;=تنظیمات!$B$11,"B","C")))</f>
        <v/>
      </c>
      <c r="K93" s="29" t="n"/>
      <c r="L93" s="29" t="n"/>
    </row>
    <row r="94" ht="20" customHeight="1">
      <c r="A94" s="29" t="n"/>
      <c r="B94" s="29" t="n"/>
      <c r="C94" s="29" t="n"/>
      <c r="D94" s="29" t="n"/>
      <c r="E94" s="29" t="n"/>
      <c r="F94" s="29" t="n"/>
      <c r="G94" s="14">
        <f>IF(A94="","",IFERROR(MINIFS(Sales!$B$4:$B$151,Sales!$C$4:$C$151,A94),"—"))</f>
        <v/>
      </c>
      <c r="H94" s="14">
        <f>IF(A94="","",IFERROR(MAXIFS(Sales!$B$4:$B$151,Sales!$C$4:$C$151,A94),"—"))</f>
        <v/>
      </c>
      <c r="I94" s="13">
        <f>IF(A94="","",SUMIF(Sales!$C$4:$C$151,A94,Sales!$L$4:$L$151))</f>
        <v/>
      </c>
      <c r="J94" s="14">
        <f>IF(OR(A94="",I94=""),"",IF(I94&gt;=تنظیمات!$B$10,"A",IF(I94&gt;=تنظیمات!$B$11,"B","C")))</f>
        <v/>
      </c>
      <c r="K94" s="29" t="n"/>
      <c r="L94" s="29" t="n"/>
    </row>
    <row r="95" ht="20" customHeight="1">
      <c r="A95" s="29" t="n"/>
      <c r="B95" s="29" t="n"/>
      <c r="C95" s="29" t="n"/>
      <c r="D95" s="29" t="n"/>
      <c r="E95" s="29" t="n"/>
      <c r="F95" s="29" t="n"/>
      <c r="G95" s="14">
        <f>IF(A95="","",IFERROR(MINIFS(Sales!$B$4:$B$151,Sales!$C$4:$C$151,A95),"—"))</f>
        <v/>
      </c>
      <c r="H95" s="14">
        <f>IF(A95="","",IFERROR(MAXIFS(Sales!$B$4:$B$151,Sales!$C$4:$C$151,A95),"—"))</f>
        <v/>
      </c>
      <c r="I95" s="13">
        <f>IF(A95="","",SUMIF(Sales!$C$4:$C$151,A95,Sales!$L$4:$L$151))</f>
        <v/>
      </c>
      <c r="J95" s="14">
        <f>IF(OR(A95="",I95=""),"",IF(I95&gt;=تنظیمات!$B$10,"A",IF(I95&gt;=تنظیمات!$B$11,"B","C")))</f>
        <v/>
      </c>
      <c r="K95" s="29" t="n"/>
      <c r="L95" s="29" t="n"/>
    </row>
    <row r="96" ht="20" customHeight="1">
      <c r="A96" s="29" t="n"/>
      <c r="B96" s="29" t="n"/>
      <c r="C96" s="29" t="n"/>
      <c r="D96" s="29" t="n"/>
      <c r="E96" s="29" t="n"/>
      <c r="F96" s="29" t="n"/>
      <c r="G96" s="14">
        <f>IF(A96="","",IFERROR(MINIFS(Sales!$B$4:$B$151,Sales!$C$4:$C$151,A96),"—"))</f>
        <v/>
      </c>
      <c r="H96" s="14">
        <f>IF(A96="","",IFERROR(MAXIFS(Sales!$B$4:$B$151,Sales!$C$4:$C$151,A96),"—"))</f>
        <v/>
      </c>
      <c r="I96" s="13">
        <f>IF(A96="","",SUMIF(Sales!$C$4:$C$151,A96,Sales!$L$4:$L$151))</f>
        <v/>
      </c>
      <c r="J96" s="14">
        <f>IF(OR(A96="",I96=""),"",IF(I96&gt;=تنظیمات!$B$10,"A",IF(I96&gt;=تنظیمات!$B$11,"B","C")))</f>
        <v/>
      </c>
      <c r="K96" s="29" t="n"/>
      <c r="L96" s="29" t="n"/>
    </row>
    <row r="97" ht="20" customHeight="1">
      <c r="A97" s="29" t="n"/>
      <c r="B97" s="29" t="n"/>
      <c r="C97" s="29" t="n"/>
      <c r="D97" s="29" t="n"/>
      <c r="E97" s="29" t="n"/>
      <c r="F97" s="29" t="n"/>
      <c r="G97" s="14">
        <f>IF(A97="","",IFERROR(MINIFS(Sales!$B$4:$B$151,Sales!$C$4:$C$151,A97),"—"))</f>
        <v/>
      </c>
      <c r="H97" s="14">
        <f>IF(A97="","",IFERROR(MAXIFS(Sales!$B$4:$B$151,Sales!$C$4:$C$151,A97),"—"))</f>
        <v/>
      </c>
      <c r="I97" s="13">
        <f>IF(A97="","",SUMIF(Sales!$C$4:$C$151,A97,Sales!$L$4:$L$151))</f>
        <v/>
      </c>
      <c r="J97" s="14">
        <f>IF(OR(A97="",I97=""),"",IF(I97&gt;=تنظیمات!$B$10,"A",IF(I97&gt;=تنظیمات!$B$11,"B","C")))</f>
        <v/>
      </c>
      <c r="K97" s="29" t="n"/>
      <c r="L97" s="29" t="n"/>
    </row>
    <row r="98" ht="20" customHeight="1">
      <c r="A98" s="29" t="n"/>
      <c r="B98" s="29" t="n"/>
      <c r="C98" s="29" t="n"/>
      <c r="D98" s="29" t="n"/>
      <c r="E98" s="29" t="n"/>
      <c r="F98" s="29" t="n"/>
      <c r="G98" s="14">
        <f>IF(A98="","",IFERROR(MINIFS(Sales!$B$4:$B$151,Sales!$C$4:$C$151,A98),"—"))</f>
        <v/>
      </c>
      <c r="H98" s="14">
        <f>IF(A98="","",IFERROR(MAXIFS(Sales!$B$4:$B$151,Sales!$C$4:$C$151,A98),"—"))</f>
        <v/>
      </c>
      <c r="I98" s="13">
        <f>IF(A98="","",SUMIF(Sales!$C$4:$C$151,A98,Sales!$L$4:$L$151))</f>
        <v/>
      </c>
      <c r="J98" s="14">
        <f>IF(OR(A98="",I98=""),"",IF(I98&gt;=تنظیمات!$B$10,"A",IF(I98&gt;=تنظیمات!$B$11,"B","C")))</f>
        <v/>
      </c>
      <c r="K98" s="29" t="n"/>
      <c r="L98" s="29" t="n"/>
    </row>
    <row r="99" ht="20" customHeight="1">
      <c r="A99" s="29" t="n"/>
      <c r="B99" s="29" t="n"/>
      <c r="C99" s="29" t="n"/>
      <c r="D99" s="29" t="n"/>
      <c r="E99" s="29" t="n"/>
      <c r="F99" s="29" t="n"/>
      <c r="G99" s="14">
        <f>IF(A99="","",IFERROR(MINIFS(Sales!$B$4:$B$151,Sales!$C$4:$C$151,A99),"—"))</f>
        <v/>
      </c>
      <c r="H99" s="14">
        <f>IF(A99="","",IFERROR(MAXIFS(Sales!$B$4:$B$151,Sales!$C$4:$C$151,A99),"—"))</f>
        <v/>
      </c>
      <c r="I99" s="13">
        <f>IF(A99="","",SUMIF(Sales!$C$4:$C$151,A99,Sales!$L$4:$L$151))</f>
        <v/>
      </c>
      <c r="J99" s="14">
        <f>IF(OR(A99="",I99=""),"",IF(I99&gt;=تنظیمات!$B$10,"A",IF(I99&gt;=تنظیمات!$B$11,"B","C")))</f>
        <v/>
      </c>
      <c r="K99" s="29" t="n"/>
      <c r="L99" s="29" t="n"/>
    </row>
    <row r="100" ht="20" customHeight="1">
      <c r="A100" s="29" t="n"/>
      <c r="B100" s="29" t="n"/>
      <c r="C100" s="29" t="n"/>
      <c r="D100" s="29" t="n"/>
      <c r="E100" s="29" t="n"/>
      <c r="F100" s="29" t="n"/>
      <c r="G100" s="14">
        <f>IF(A100="","",IFERROR(MINIFS(Sales!$B$4:$B$151,Sales!$C$4:$C$151,A100),"—"))</f>
        <v/>
      </c>
      <c r="H100" s="14">
        <f>IF(A100="","",IFERROR(MAXIFS(Sales!$B$4:$B$151,Sales!$C$4:$C$151,A100),"—"))</f>
        <v/>
      </c>
      <c r="I100" s="13">
        <f>IF(A100="","",SUMIF(Sales!$C$4:$C$151,A100,Sales!$L$4:$L$151))</f>
        <v/>
      </c>
      <c r="J100" s="14">
        <f>IF(OR(A100="",I100=""),"",IF(I100&gt;=تنظیمات!$B$10,"A",IF(I100&gt;=تنظیمات!$B$11,"B","C")))</f>
        <v/>
      </c>
      <c r="K100" s="29" t="n"/>
      <c r="L100" s="29" t="n"/>
    </row>
    <row r="101" ht="20" customHeight="1">
      <c r="A101" s="29" t="n"/>
      <c r="B101" s="29" t="n"/>
      <c r="C101" s="29" t="n"/>
      <c r="D101" s="29" t="n"/>
      <c r="E101" s="29" t="n"/>
      <c r="F101" s="29" t="n"/>
      <c r="G101" s="14">
        <f>IF(A101="","",IFERROR(MINIFS(Sales!$B$4:$B$151,Sales!$C$4:$C$151,A101),"—"))</f>
        <v/>
      </c>
      <c r="H101" s="14">
        <f>IF(A101="","",IFERROR(MAXIFS(Sales!$B$4:$B$151,Sales!$C$4:$C$151,A101),"—"))</f>
        <v/>
      </c>
      <c r="I101" s="13">
        <f>IF(A101="","",SUMIF(Sales!$C$4:$C$151,A101,Sales!$L$4:$L$151))</f>
        <v/>
      </c>
      <c r="J101" s="14">
        <f>IF(OR(A101="",I101=""),"",IF(I101&gt;=تنظیمات!$B$10,"A",IF(I101&gt;=تنظیمات!$B$11,"B","C")))</f>
        <v/>
      </c>
      <c r="K101" s="29" t="n"/>
      <c r="L101" s="29" t="n"/>
    </row>
    <row r="102" ht="20" customHeight="1">
      <c r="A102" s="29" t="n"/>
      <c r="B102" s="29" t="n"/>
      <c r="C102" s="29" t="n"/>
      <c r="D102" s="29" t="n"/>
      <c r="E102" s="29" t="n"/>
      <c r="F102" s="29" t="n"/>
      <c r="G102" s="14">
        <f>IF(A102="","",IFERROR(MINIFS(Sales!$B$4:$B$151,Sales!$C$4:$C$151,A102),"—"))</f>
        <v/>
      </c>
      <c r="H102" s="14">
        <f>IF(A102="","",IFERROR(MAXIFS(Sales!$B$4:$B$151,Sales!$C$4:$C$151,A102),"—"))</f>
        <v/>
      </c>
      <c r="I102" s="13">
        <f>IF(A102="","",SUMIF(Sales!$C$4:$C$151,A102,Sales!$L$4:$L$151))</f>
        <v/>
      </c>
      <c r="J102" s="14">
        <f>IF(OR(A102="",I102=""),"",IF(I102&gt;=تنظیمات!$B$10,"A",IF(I102&gt;=تنظیمات!$B$11,"B","C")))</f>
        <v/>
      </c>
      <c r="K102" s="29" t="n"/>
      <c r="L102" s="29" t="n"/>
    </row>
    <row r="103" ht="20" customHeight="1">
      <c r="A103" s="29" t="n"/>
      <c r="B103" s="29" t="n"/>
      <c r="C103" s="29" t="n"/>
      <c r="D103" s="29" t="n"/>
      <c r="E103" s="29" t="n"/>
      <c r="F103" s="29" t="n"/>
      <c r="G103" s="14">
        <f>IF(A103="","",IFERROR(MINIFS(Sales!$B$4:$B$151,Sales!$C$4:$C$151,A103),"—"))</f>
        <v/>
      </c>
      <c r="H103" s="14">
        <f>IF(A103="","",IFERROR(MAXIFS(Sales!$B$4:$B$151,Sales!$C$4:$C$151,A103),"—"))</f>
        <v/>
      </c>
      <c r="I103" s="13">
        <f>IF(A103="","",SUMIF(Sales!$C$4:$C$151,A103,Sales!$L$4:$L$151))</f>
        <v/>
      </c>
      <c r="J103" s="14">
        <f>IF(OR(A103="",I103=""),"",IF(I103&gt;=تنظیمات!$B$10,"A",IF(I103&gt;=تنظیمات!$B$11,"B","C")))</f>
        <v/>
      </c>
      <c r="K103" s="29" t="n"/>
      <c r="L103" s="29" t="n"/>
    </row>
    <row r="104" ht="20" customHeight="1">
      <c r="A104" s="29" t="n"/>
      <c r="B104" s="29" t="n"/>
      <c r="C104" s="29" t="n"/>
      <c r="D104" s="29" t="n"/>
      <c r="E104" s="29" t="n"/>
      <c r="F104" s="29" t="n"/>
      <c r="G104" s="14">
        <f>IF(A104="","",IFERROR(MINIFS(Sales!$B$4:$B$151,Sales!$C$4:$C$151,A104),"—"))</f>
        <v/>
      </c>
      <c r="H104" s="14">
        <f>IF(A104="","",IFERROR(MAXIFS(Sales!$B$4:$B$151,Sales!$C$4:$C$151,A104),"—"))</f>
        <v/>
      </c>
      <c r="I104" s="13">
        <f>IF(A104="","",SUMIF(Sales!$C$4:$C$151,A104,Sales!$L$4:$L$151))</f>
        <v/>
      </c>
      <c r="J104" s="14">
        <f>IF(OR(A104="",I104=""),"",IF(I104&gt;=تنظیمات!$B$10,"A",IF(I104&gt;=تنظیمات!$B$11,"B","C")))</f>
        <v/>
      </c>
      <c r="K104" s="29" t="n"/>
      <c r="L104" s="29" t="n"/>
    </row>
    <row r="105" ht="20" customHeight="1">
      <c r="A105" s="29" t="n"/>
      <c r="B105" s="29" t="n"/>
      <c r="C105" s="29" t="n"/>
      <c r="D105" s="29" t="n"/>
      <c r="E105" s="29" t="n"/>
      <c r="F105" s="29" t="n"/>
      <c r="G105" s="14">
        <f>IF(A105="","",IFERROR(MINIFS(Sales!$B$4:$B$151,Sales!$C$4:$C$151,A105),"—"))</f>
        <v/>
      </c>
      <c r="H105" s="14">
        <f>IF(A105="","",IFERROR(MAXIFS(Sales!$B$4:$B$151,Sales!$C$4:$C$151,A105),"—"))</f>
        <v/>
      </c>
      <c r="I105" s="13">
        <f>IF(A105="","",SUMIF(Sales!$C$4:$C$151,A105,Sales!$L$4:$L$151))</f>
        <v/>
      </c>
      <c r="J105" s="14">
        <f>IF(OR(A105="",I105=""),"",IF(I105&gt;=تنظیمات!$B$10,"A",IF(I105&gt;=تنظیمات!$B$11,"B","C")))</f>
        <v/>
      </c>
      <c r="K105" s="29" t="n"/>
      <c r="L105" s="29" t="n"/>
    </row>
    <row r="106" ht="20" customHeight="1">
      <c r="A106" s="29" t="n"/>
      <c r="B106" s="29" t="n"/>
      <c r="C106" s="29" t="n"/>
      <c r="D106" s="29" t="n"/>
      <c r="E106" s="29" t="n"/>
      <c r="F106" s="29" t="n"/>
      <c r="G106" s="14">
        <f>IF(A106="","",IFERROR(MINIFS(Sales!$B$4:$B$151,Sales!$C$4:$C$151,A106),"—"))</f>
        <v/>
      </c>
      <c r="H106" s="14">
        <f>IF(A106="","",IFERROR(MAXIFS(Sales!$B$4:$B$151,Sales!$C$4:$C$151,A106),"—"))</f>
        <v/>
      </c>
      <c r="I106" s="13">
        <f>IF(A106="","",SUMIF(Sales!$C$4:$C$151,A106,Sales!$L$4:$L$151))</f>
        <v/>
      </c>
      <c r="J106" s="14">
        <f>IF(OR(A106="",I106=""),"",IF(I106&gt;=تنظیمات!$B$10,"A",IF(I106&gt;=تنظیمات!$B$11,"B","C")))</f>
        <v/>
      </c>
      <c r="K106" s="29" t="n"/>
      <c r="L106" s="29" t="n"/>
    </row>
    <row r="107" ht="20" customHeight="1">
      <c r="A107" s="29" t="n"/>
      <c r="B107" s="29" t="n"/>
      <c r="C107" s="29" t="n"/>
      <c r="D107" s="29" t="n"/>
      <c r="E107" s="29" t="n"/>
      <c r="F107" s="29" t="n"/>
      <c r="G107" s="14">
        <f>IF(A107="","",IFERROR(MINIFS(Sales!$B$4:$B$151,Sales!$C$4:$C$151,A107),"—"))</f>
        <v/>
      </c>
      <c r="H107" s="14">
        <f>IF(A107="","",IFERROR(MAXIFS(Sales!$B$4:$B$151,Sales!$C$4:$C$151,A107),"—"))</f>
        <v/>
      </c>
      <c r="I107" s="13">
        <f>IF(A107="","",SUMIF(Sales!$C$4:$C$151,A107,Sales!$L$4:$L$151))</f>
        <v/>
      </c>
      <c r="J107" s="14">
        <f>IF(OR(A107="",I107=""),"",IF(I107&gt;=تنظیمات!$B$10,"A",IF(I107&gt;=تنظیمات!$B$11,"B","C")))</f>
        <v/>
      </c>
      <c r="K107" s="29" t="n"/>
      <c r="L107" s="29" t="n"/>
    </row>
    <row r="108" ht="20" customHeight="1">
      <c r="A108" s="29" t="n"/>
      <c r="B108" s="29" t="n"/>
      <c r="C108" s="29" t="n"/>
      <c r="D108" s="29" t="n"/>
      <c r="E108" s="29" t="n"/>
      <c r="F108" s="29" t="n"/>
      <c r="G108" s="14">
        <f>IF(A108="","",IFERROR(MINIFS(Sales!$B$4:$B$151,Sales!$C$4:$C$151,A108),"—"))</f>
        <v/>
      </c>
      <c r="H108" s="14">
        <f>IF(A108="","",IFERROR(MAXIFS(Sales!$B$4:$B$151,Sales!$C$4:$C$151,A108),"—"))</f>
        <v/>
      </c>
      <c r="I108" s="13">
        <f>IF(A108="","",SUMIF(Sales!$C$4:$C$151,A108,Sales!$L$4:$L$151))</f>
        <v/>
      </c>
      <c r="J108" s="14">
        <f>IF(OR(A108="",I108=""),"",IF(I108&gt;=تنظیمات!$B$10,"A",IF(I108&gt;=تنظیمات!$B$11,"B","C")))</f>
        <v/>
      </c>
      <c r="K108" s="29" t="n"/>
      <c r="L108" s="29" t="n"/>
    </row>
    <row r="109" ht="20" customHeight="1">
      <c r="A109" s="29" t="n"/>
      <c r="B109" s="29" t="n"/>
      <c r="C109" s="29" t="n"/>
      <c r="D109" s="29" t="n"/>
      <c r="E109" s="29" t="n"/>
      <c r="F109" s="29" t="n"/>
      <c r="G109" s="14">
        <f>IF(A109="","",IFERROR(MINIFS(Sales!$B$4:$B$151,Sales!$C$4:$C$151,A109),"—"))</f>
        <v/>
      </c>
      <c r="H109" s="14">
        <f>IF(A109="","",IFERROR(MAXIFS(Sales!$B$4:$B$151,Sales!$C$4:$C$151,A109),"—"))</f>
        <v/>
      </c>
      <c r="I109" s="13">
        <f>IF(A109="","",SUMIF(Sales!$C$4:$C$151,A109,Sales!$L$4:$L$151))</f>
        <v/>
      </c>
      <c r="J109" s="14">
        <f>IF(OR(A109="",I109=""),"",IF(I109&gt;=تنظیمات!$B$10,"A",IF(I109&gt;=تنظیمات!$B$11,"B","C")))</f>
        <v/>
      </c>
      <c r="K109" s="29" t="n"/>
      <c r="L109" s="29" t="n"/>
    </row>
    <row r="110" ht="20" customHeight="1">
      <c r="A110" s="29" t="n"/>
      <c r="B110" s="29" t="n"/>
      <c r="C110" s="29" t="n"/>
      <c r="D110" s="29" t="n"/>
      <c r="E110" s="29" t="n"/>
      <c r="F110" s="29" t="n"/>
      <c r="G110" s="14">
        <f>IF(A110="","",IFERROR(MINIFS(Sales!$B$4:$B$151,Sales!$C$4:$C$151,A110),"—"))</f>
        <v/>
      </c>
      <c r="H110" s="14">
        <f>IF(A110="","",IFERROR(MAXIFS(Sales!$B$4:$B$151,Sales!$C$4:$C$151,A110),"—"))</f>
        <v/>
      </c>
      <c r="I110" s="13">
        <f>IF(A110="","",SUMIF(Sales!$C$4:$C$151,A110,Sales!$L$4:$L$151))</f>
        <v/>
      </c>
      <c r="J110" s="14">
        <f>IF(OR(A110="",I110=""),"",IF(I110&gt;=تنظیمات!$B$10,"A",IF(I110&gt;=تنظیمات!$B$11,"B","C")))</f>
        <v/>
      </c>
      <c r="K110" s="29" t="n"/>
      <c r="L110" s="29" t="n"/>
    </row>
    <row r="111" ht="20" customHeight="1">
      <c r="A111" s="29" t="n"/>
      <c r="B111" s="29" t="n"/>
      <c r="C111" s="29" t="n"/>
      <c r="D111" s="29" t="n"/>
      <c r="E111" s="29" t="n"/>
      <c r="F111" s="29" t="n"/>
      <c r="G111" s="14">
        <f>IF(A111="","",IFERROR(MINIFS(Sales!$B$4:$B$151,Sales!$C$4:$C$151,A111),"—"))</f>
        <v/>
      </c>
      <c r="H111" s="14">
        <f>IF(A111="","",IFERROR(MAXIFS(Sales!$B$4:$B$151,Sales!$C$4:$C$151,A111),"—"))</f>
        <v/>
      </c>
      <c r="I111" s="13">
        <f>IF(A111="","",SUMIF(Sales!$C$4:$C$151,A111,Sales!$L$4:$L$151))</f>
        <v/>
      </c>
      <c r="J111" s="14">
        <f>IF(OR(A111="",I111=""),"",IF(I111&gt;=تنظیمات!$B$10,"A",IF(I111&gt;=تنظیمات!$B$11,"B","C")))</f>
        <v/>
      </c>
      <c r="K111" s="29" t="n"/>
      <c r="L111" s="29" t="n"/>
    </row>
    <row r="112" ht="20" customHeight="1">
      <c r="A112" s="29" t="n"/>
      <c r="B112" s="29" t="n"/>
      <c r="C112" s="29" t="n"/>
      <c r="D112" s="29" t="n"/>
      <c r="E112" s="29" t="n"/>
      <c r="F112" s="29" t="n"/>
      <c r="G112" s="14">
        <f>IF(A112="","",IFERROR(MINIFS(Sales!$B$4:$B$151,Sales!$C$4:$C$151,A112),"—"))</f>
        <v/>
      </c>
      <c r="H112" s="14">
        <f>IF(A112="","",IFERROR(MAXIFS(Sales!$B$4:$B$151,Sales!$C$4:$C$151,A112),"—"))</f>
        <v/>
      </c>
      <c r="I112" s="13">
        <f>IF(A112="","",SUMIF(Sales!$C$4:$C$151,A112,Sales!$L$4:$L$151))</f>
        <v/>
      </c>
      <c r="J112" s="14">
        <f>IF(OR(A112="",I112=""),"",IF(I112&gt;=تنظیمات!$B$10,"A",IF(I112&gt;=تنظیمات!$B$11,"B","C")))</f>
        <v/>
      </c>
      <c r="K112" s="29" t="n"/>
      <c r="L112" s="29" t="n"/>
    </row>
    <row r="113" ht="20" customHeight="1">
      <c r="A113" s="29" t="n"/>
      <c r="B113" s="29" t="n"/>
      <c r="C113" s="29" t="n"/>
      <c r="D113" s="29" t="n"/>
      <c r="E113" s="29" t="n"/>
      <c r="F113" s="29" t="n"/>
      <c r="G113" s="14">
        <f>IF(A113="","",IFERROR(MINIFS(Sales!$B$4:$B$151,Sales!$C$4:$C$151,A113),"—"))</f>
        <v/>
      </c>
      <c r="H113" s="14">
        <f>IF(A113="","",IFERROR(MAXIFS(Sales!$B$4:$B$151,Sales!$C$4:$C$151,A113),"—"))</f>
        <v/>
      </c>
      <c r="I113" s="13">
        <f>IF(A113="","",SUMIF(Sales!$C$4:$C$151,A113,Sales!$L$4:$L$151))</f>
        <v/>
      </c>
      <c r="J113" s="14">
        <f>IF(OR(A113="",I113=""),"",IF(I113&gt;=تنظیمات!$B$10,"A",IF(I113&gt;=تنظیمات!$B$11,"B","C")))</f>
        <v/>
      </c>
      <c r="K113" s="29" t="n"/>
      <c r="L113" s="29" t="n"/>
    </row>
    <row r="114" ht="20" customHeight="1">
      <c r="A114" s="29" t="n"/>
      <c r="B114" s="29" t="n"/>
      <c r="C114" s="29" t="n"/>
      <c r="D114" s="29" t="n"/>
      <c r="E114" s="29" t="n"/>
      <c r="F114" s="29" t="n"/>
      <c r="G114" s="14">
        <f>IF(A114="","",IFERROR(MINIFS(Sales!$B$4:$B$151,Sales!$C$4:$C$151,A114),"—"))</f>
        <v/>
      </c>
      <c r="H114" s="14">
        <f>IF(A114="","",IFERROR(MAXIFS(Sales!$B$4:$B$151,Sales!$C$4:$C$151,A114),"—"))</f>
        <v/>
      </c>
      <c r="I114" s="13">
        <f>IF(A114="","",SUMIF(Sales!$C$4:$C$151,A114,Sales!$L$4:$L$151))</f>
        <v/>
      </c>
      <c r="J114" s="14">
        <f>IF(OR(A114="",I114=""),"",IF(I114&gt;=تنظیمات!$B$10,"A",IF(I114&gt;=تنظیمات!$B$11,"B","C")))</f>
        <v/>
      </c>
      <c r="K114" s="29" t="n"/>
      <c r="L114" s="29" t="n"/>
    </row>
    <row r="115" ht="20" customHeight="1">
      <c r="A115" s="29" t="n"/>
      <c r="B115" s="29" t="n"/>
      <c r="C115" s="29" t="n"/>
      <c r="D115" s="29" t="n"/>
      <c r="E115" s="29" t="n"/>
      <c r="F115" s="29" t="n"/>
      <c r="G115" s="14">
        <f>IF(A115="","",IFERROR(MINIFS(Sales!$B$4:$B$151,Sales!$C$4:$C$151,A115),"—"))</f>
        <v/>
      </c>
      <c r="H115" s="14">
        <f>IF(A115="","",IFERROR(MAXIFS(Sales!$B$4:$B$151,Sales!$C$4:$C$151,A115),"—"))</f>
        <v/>
      </c>
      <c r="I115" s="13">
        <f>IF(A115="","",SUMIF(Sales!$C$4:$C$151,A115,Sales!$L$4:$L$151))</f>
        <v/>
      </c>
      <c r="J115" s="14">
        <f>IF(OR(A115="",I115=""),"",IF(I115&gt;=تنظیمات!$B$10,"A",IF(I115&gt;=تنظیمات!$B$11,"B","C")))</f>
        <v/>
      </c>
      <c r="K115" s="29" t="n"/>
      <c r="L115" s="29" t="n"/>
    </row>
    <row r="116" ht="20" customHeight="1">
      <c r="A116" s="29" t="n"/>
      <c r="B116" s="29" t="n"/>
      <c r="C116" s="29" t="n"/>
      <c r="D116" s="29" t="n"/>
      <c r="E116" s="29" t="n"/>
      <c r="F116" s="29" t="n"/>
      <c r="G116" s="14">
        <f>IF(A116="","",IFERROR(MINIFS(Sales!$B$4:$B$151,Sales!$C$4:$C$151,A116),"—"))</f>
        <v/>
      </c>
      <c r="H116" s="14">
        <f>IF(A116="","",IFERROR(MAXIFS(Sales!$B$4:$B$151,Sales!$C$4:$C$151,A116),"—"))</f>
        <v/>
      </c>
      <c r="I116" s="13">
        <f>IF(A116="","",SUMIF(Sales!$C$4:$C$151,A116,Sales!$L$4:$L$151))</f>
        <v/>
      </c>
      <c r="J116" s="14">
        <f>IF(OR(A116="",I116=""),"",IF(I116&gt;=تنظیمات!$B$10,"A",IF(I116&gt;=تنظیمات!$B$11,"B","C")))</f>
        <v/>
      </c>
      <c r="K116" s="29" t="n"/>
      <c r="L116" s="29" t="n"/>
    </row>
    <row r="117" ht="20" customHeight="1">
      <c r="A117" s="29" t="n"/>
      <c r="B117" s="29" t="n"/>
      <c r="C117" s="29" t="n"/>
      <c r="D117" s="29" t="n"/>
      <c r="E117" s="29" t="n"/>
      <c r="F117" s="29" t="n"/>
      <c r="G117" s="14">
        <f>IF(A117="","",IFERROR(MINIFS(Sales!$B$4:$B$151,Sales!$C$4:$C$151,A117),"—"))</f>
        <v/>
      </c>
      <c r="H117" s="14">
        <f>IF(A117="","",IFERROR(MAXIFS(Sales!$B$4:$B$151,Sales!$C$4:$C$151,A117),"—"))</f>
        <v/>
      </c>
      <c r="I117" s="13">
        <f>IF(A117="","",SUMIF(Sales!$C$4:$C$151,A117,Sales!$L$4:$L$151))</f>
        <v/>
      </c>
      <c r="J117" s="14">
        <f>IF(OR(A117="",I117=""),"",IF(I117&gt;=تنظیمات!$B$10,"A",IF(I117&gt;=تنظیمات!$B$11,"B","C")))</f>
        <v/>
      </c>
      <c r="K117" s="29" t="n"/>
      <c r="L117" s="29" t="n"/>
    </row>
    <row r="118" ht="20" customHeight="1">
      <c r="A118" s="29" t="n"/>
      <c r="B118" s="29" t="n"/>
      <c r="C118" s="29" t="n"/>
      <c r="D118" s="29" t="n"/>
      <c r="E118" s="29" t="n"/>
      <c r="F118" s="29" t="n"/>
      <c r="G118" s="14">
        <f>IF(A118="","",IFERROR(MINIFS(Sales!$B$4:$B$151,Sales!$C$4:$C$151,A118),"—"))</f>
        <v/>
      </c>
      <c r="H118" s="14">
        <f>IF(A118="","",IFERROR(MAXIFS(Sales!$B$4:$B$151,Sales!$C$4:$C$151,A118),"—"))</f>
        <v/>
      </c>
      <c r="I118" s="13">
        <f>IF(A118="","",SUMIF(Sales!$C$4:$C$151,A118,Sales!$L$4:$L$151))</f>
        <v/>
      </c>
      <c r="J118" s="14">
        <f>IF(OR(A118="",I118=""),"",IF(I118&gt;=تنظیمات!$B$10,"A",IF(I118&gt;=تنظیمات!$B$11,"B","C")))</f>
        <v/>
      </c>
      <c r="K118" s="29" t="n"/>
      <c r="L118" s="29" t="n"/>
    </row>
    <row r="119" ht="20" customHeight="1">
      <c r="A119" s="29" t="n"/>
      <c r="B119" s="29" t="n"/>
      <c r="C119" s="29" t="n"/>
      <c r="D119" s="29" t="n"/>
      <c r="E119" s="29" t="n"/>
      <c r="F119" s="29" t="n"/>
      <c r="G119" s="14">
        <f>IF(A119="","",IFERROR(MINIFS(Sales!$B$4:$B$151,Sales!$C$4:$C$151,A119),"—"))</f>
        <v/>
      </c>
      <c r="H119" s="14">
        <f>IF(A119="","",IFERROR(MAXIFS(Sales!$B$4:$B$151,Sales!$C$4:$C$151,A119),"—"))</f>
        <v/>
      </c>
      <c r="I119" s="13">
        <f>IF(A119="","",SUMIF(Sales!$C$4:$C$151,A119,Sales!$L$4:$L$151))</f>
        <v/>
      </c>
      <c r="J119" s="14">
        <f>IF(OR(A119="",I119=""),"",IF(I119&gt;=تنظیمات!$B$10,"A",IF(I119&gt;=تنظیمات!$B$11,"B","C")))</f>
        <v/>
      </c>
      <c r="K119" s="29" t="n"/>
      <c r="L119" s="29" t="n"/>
    </row>
    <row r="120" ht="20" customHeight="1">
      <c r="A120" s="29" t="n"/>
      <c r="B120" s="29" t="n"/>
      <c r="C120" s="29" t="n"/>
      <c r="D120" s="29" t="n"/>
      <c r="E120" s="29" t="n"/>
      <c r="F120" s="29" t="n"/>
      <c r="G120" s="14">
        <f>IF(A120="","",IFERROR(MINIFS(Sales!$B$4:$B$151,Sales!$C$4:$C$151,A120),"—"))</f>
        <v/>
      </c>
      <c r="H120" s="14">
        <f>IF(A120="","",IFERROR(MAXIFS(Sales!$B$4:$B$151,Sales!$C$4:$C$151,A120),"—"))</f>
        <v/>
      </c>
      <c r="I120" s="13">
        <f>IF(A120="","",SUMIF(Sales!$C$4:$C$151,A120,Sales!$L$4:$L$151))</f>
        <v/>
      </c>
      <c r="J120" s="14">
        <f>IF(OR(A120="",I120=""),"",IF(I120&gt;=تنظیمات!$B$10,"A",IF(I120&gt;=تنظیمات!$B$11,"B","C")))</f>
        <v/>
      </c>
      <c r="K120" s="29" t="n"/>
      <c r="L120" s="29" t="n"/>
    </row>
    <row r="121" ht="20" customHeight="1">
      <c r="A121" s="29" t="n"/>
      <c r="B121" s="29" t="n"/>
      <c r="C121" s="29" t="n"/>
      <c r="D121" s="29" t="n"/>
      <c r="E121" s="29" t="n"/>
      <c r="F121" s="29" t="n"/>
      <c r="G121" s="14">
        <f>IF(A121="","",IFERROR(MINIFS(Sales!$B$4:$B$151,Sales!$C$4:$C$151,A121),"—"))</f>
        <v/>
      </c>
      <c r="H121" s="14">
        <f>IF(A121="","",IFERROR(MAXIFS(Sales!$B$4:$B$151,Sales!$C$4:$C$151,A121),"—"))</f>
        <v/>
      </c>
      <c r="I121" s="13">
        <f>IF(A121="","",SUMIF(Sales!$C$4:$C$151,A121,Sales!$L$4:$L$151))</f>
        <v/>
      </c>
      <c r="J121" s="14">
        <f>IF(OR(A121="",I121=""),"",IF(I121&gt;=تنظیمات!$B$10,"A",IF(I121&gt;=تنظیمات!$B$11,"B","C")))</f>
        <v/>
      </c>
      <c r="K121" s="29" t="n"/>
      <c r="L121" s="29" t="n"/>
    </row>
    <row r="122" ht="20" customHeight="1">
      <c r="A122" s="29" t="n"/>
      <c r="B122" s="29" t="n"/>
      <c r="C122" s="29" t="n"/>
      <c r="D122" s="29" t="n"/>
      <c r="E122" s="29" t="n"/>
      <c r="F122" s="29" t="n"/>
      <c r="G122" s="14">
        <f>IF(A122="","",IFERROR(MINIFS(Sales!$B$4:$B$151,Sales!$C$4:$C$151,A122),"—"))</f>
        <v/>
      </c>
      <c r="H122" s="14">
        <f>IF(A122="","",IFERROR(MAXIFS(Sales!$B$4:$B$151,Sales!$C$4:$C$151,A122),"—"))</f>
        <v/>
      </c>
      <c r="I122" s="13">
        <f>IF(A122="","",SUMIF(Sales!$C$4:$C$151,A122,Sales!$L$4:$L$151))</f>
        <v/>
      </c>
      <c r="J122" s="14">
        <f>IF(OR(A122="",I122=""),"",IF(I122&gt;=تنظیمات!$B$10,"A",IF(I122&gt;=تنظیمات!$B$11,"B","C")))</f>
        <v/>
      </c>
      <c r="K122" s="29" t="n"/>
      <c r="L122" s="29" t="n"/>
    </row>
    <row r="123" ht="20" customHeight="1">
      <c r="A123" s="29" t="n"/>
      <c r="B123" s="29" t="n"/>
      <c r="C123" s="29" t="n"/>
      <c r="D123" s="29" t="n"/>
      <c r="E123" s="29" t="n"/>
      <c r="F123" s="29" t="n"/>
      <c r="G123" s="14">
        <f>IF(A123="","",IFERROR(MINIFS(Sales!$B$4:$B$151,Sales!$C$4:$C$151,A123),"—"))</f>
        <v/>
      </c>
      <c r="H123" s="14">
        <f>IF(A123="","",IFERROR(MAXIFS(Sales!$B$4:$B$151,Sales!$C$4:$C$151,A123),"—"))</f>
        <v/>
      </c>
      <c r="I123" s="13">
        <f>IF(A123="","",SUMIF(Sales!$C$4:$C$151,A123,Sales!$L$4:$L$151))</f>
        <v/>
      </c>
      <c r="J123" s="14">
        <f>IF(OR(A123="",I123=""),"",IF(I123&gt;=تنظیمات!$B$10,"A",IF(I123&gt;=تنظیمات!$B$11,"B","C")))</f>
        <v/>
      </c>
      <c r="K123" s="29" t="n"/>
      <c r="L123" s="29" t="n"/>
    </row>
    <row r="124" ht="20" customHeight="1">
      <c r="A124" s="29" t="n"/>
      <c r="B124" s="29" t="n"/>
      <c r="C124" s="29" t="n"/>
      <c r="D124" s="29" t="n"/>
      <c r="E124" s="29" t="n"/>
      <c r="F124" s="29" t="n"/>
      <c r="G124" s="14">
        <f>IF(A124="","",IFERROR(MINIFS(Sales!$B$4:$B$151,Sales!$C$4:$C$151,A124),"—"))</f>
        <v/>
      </c>
      <c r="H124" s="14">
        <f>IF(A124="","",IFERROR(MAXIFS(Sales!$B$4:$B$151,Sales!$C$4:$C$151,A124),"—"))</f>
        <v/>
      </c>
      <c r="I124" s="13">
        <f>IF(A124="","",SUMIF(Sales!$C$4:$C$151,A124,Sales!$L$4:$L$151))</f>
        <v/>
      </c>
      <c r="J124" s="14">
        <f>IF(OR(A124="",I124=""),"",IF(I124&gt;=تنظیمات!$B$10,"A",IF(I124&gt;=تنظیمات!$B$11,"B","C")))</f>
        <v/>
      </c>
      <c r="K124" s="29" t="n"/>
      <c r="L124" s="29" t="n"/>
    </row>
    <row r="125" ht="20" customHeight="1">
      <c r="A125" s="29" t="n"/>
      <c r="B125" s="29" t="n"/>
      <c r="C125" s="29" t="n"/>
      <c r="D125" s="29" t="n"/>
      <c r="E125" s="29" t="n"/>
      <c r="F125" s="29" t="n"/>
      <c r="G125" s="14">
        <f>IF(A125="","",IFERROR(MINIFS(Sales!$B$4:$B$151,Sales!$C$4:$C$151,A125),"—"))</f>
        <v/>
      </c>
      <c r="H125" s="14">
        <f>IF(A125="","",IFERROR(MAXIFS(Sales!$B$4:$B$151,Sales!$C$4:$C$151,A125),"—"))</f>
        <v/>
      </c>
      <c r="I125" s="13">
        <f>IF(A125="","",SUMIF(Sales!$C$4:$C$151,A125,Sales!$L$4:$L$151))</f>
        <v/>
      </c>
      <c r="J125" s="14">
        <f>IF(OR(A125="",I125=""),"",IF(I125&gt;=تنظیمات!$B$10,"A",IF(I125&gt;=تنظیمات!$B$11,"B","C")))</f>
        <v/>
      </c>
      <c r="K125" s="29" t="n"/>
      <c r="L125" s="29" t="n"/>
    </row>
    <row r="126" ht="20" customHeight="1">
      <c r="A126" s="29" t="n"/>
      <c r="B126" s="29" t="n"/>
      <c r="C126" s="29" t="n"/>
      <c r="D126" s="29" t="n"/>
      <c r="E126" s="29" t="n"/>
      <c r="F126" s="29" t="n"/>
      <c r="G126" s="14">
        <f>IF(A126="","",IFERROR(MINIFS(Sales!$B$4:$B$151,Sales!$C$4:$C$151,A126),"—"))</f>
        <v/>
      </c>
      <c r="H126" s="14">
        <f>IF(A126="","",IFERROR(MAXIFS(Sales!$B$4:$B$151,Sales!$C$4:$C$151,A126),"—"))</f>
        <v/>
      </c>
      <c r="I126" s="13">
        <f>IF(A126="","",SUMIF(Sales!$C$4:$C$151,A126,Sales!$L$4:$L$151))</f>
        <v/>
      </c>
      <c r="J126" s="14">
        <f>IF(OR(A126="",I126=""),"",IF(I126&gt;=تنظیمات!$B$10,"A",IF(I126&gt;=تنظیمات!$B$11,"B","C")))</f>
        <v/>
      </c>
      <c r="K126" s="29" t="n"/>
      <c r="L126" s="29" t="n"/>
    </row>
    <row r="127" ht="20" customHeight="1">
      <c r="A127" s="29" t="n"/>
      <c r="B127" s="29" t="n"/>
      <c r="C127" s="29" t="n"/>
      <c r="D127" s="29" t="n"/>
      <c r="E127" s="29" t="n"/>
      <c r="F127" s="29" t="n"/>
      <c r="G127" s="14">
        <f>IF(A127="","",IFERROR(MINIFS(Sales!$B$4:$B$151,Sales!$C$4:$C$151,A127),"—"))</f>
        <v/>
      </c>
      <c r="H127" s="14">
        <f>IF(A127="","",IFERROR(MAXIFS(Sales!$B$4:$B$151,Sales!$C$4:$C$151,A127),"—"))</f>
        <v/>
      </c>
      <c r="I127" s="13">
        <f>IF(A127="","",SUMIF(Sales!$C$4:$C$151,A127,Sales!$L$4:$L$151))</f>
        <v/>
      </c>
      <c r="J127" s="14">
        <f>IF(OR(A127="",I127=""),"",IF(I127&gt;=تنظیمات!$B$10,"A",IF(I127&gt;=تنظیمات!$B$11,"B","C")))</f>
        <v/>
      </c>
      <c r="K127" s="29" t="n"/>
      <c r="L127" s="29" t="n"/>
    </row>
    <row r="128" ht="20" customHeight="1">
      <c r="A128" s="29" t="n"/>
      <c r="B128" s="29" t="n"/>
      <c r="C128" s="29" t="n"/>
      <c r="D128" s="29" t="n"/>
      <c r="E128" s="29" t="n"/>
      <c r="F128" s="29" t="n"/>
      <c r="G128" s="14">
        <f>IF(A128="","",IFERROR(MINIFS(Sales!$B$4:$B$151,Sales!$C$4:$C$151,A128),"—"))</f>
        <v/>
      </c>
      <c r="H128" s="14">
        <f>IF(A128="","",IFERROR(MAXIFS(Sales!$B$4:$B$151,Sales!$C$4:$C$151,A128),"—"))</f>
        <v/>
      </c>
      <c r="I128" s="13">
        <f>IF(A128="","",SUMIF(Sales!$C$4:$C$151,A128,Sales!$L$4:$L$151))</f>
        <v/>
      </c>
      <c r="J128" s="14">
        <f>IF(OR(A128="",I128=""),"",IF(I128&gt;=تنظیمات!$B$10,"A",IF(I128&gt;=تنظیمات!$B$11,"B","C")))</f>
        <v/>
      </c>
      <c r="K128" s="29" t="n"/>
      <c r="L128" s="29" t="n"/>
    </row>
    <row r="129" ht="20" customHeight="1">
      <c r="A129" s="29" t="n"/>
      <c r="B129" s="29" t="n"/>
      <c r="C129" s="29" t="n"/>
      <c r="D129" s="29" t="n"/>
      <c r="E129" s="29" t="n"/>
      <c r="F129" s="29" t="n"/>
      <c r="G129" s="14">
        <f>IF(A129="","",IFERROR(MINIFS(Sales!$B$4:$B$151,Sales!$C$4:$C$151,A129),"—"))</f>
        <v/>
      </c>
      <c r="H129" s="14">
        <f>IF(A129="","",IFERROR(MAXIFS(Sales!$B$4:$B$151,Sales!$C$4:$C$151,A129),"—"))</f>
        <v/>
      </c>
      <c r="I129" s="13">
        <f>IF(A129="","",SUMIF(Sales!$C$4:$C$151,A129,Sales!$L$4:$L$151))</f>
        <v/>
      </c>
      <c r="J129" s="14">
        <f>IF(OR(A129="",I129=""),"",IF(I129&gt;=تنظیمات!$B$10,"A",IF(I129&gt;=تنظیمات!$B$11,"B","C")))</f>
        <v/>
      </c>
      <c r="K129" s="29" t="n"/>
      <c r="L129" s="29" t="n"/>
    </row>
    <row r="130" ht="20" customHeight="1">
      <c r="A130" s="29" t="n"/>
      <c r="B130" s="29" t="n"/>
      <c r="C130" s="29" t="n"/>
      <c r="D130" s="29" t="n"/>
      <c r="E130" s="29" t="n"/>
      <c r="F130" s="29" t="n"/>
      <c r="G130" s="14">
        <f>IF(A130="","",IFERROR(MINIFS(Sales!$B$4:$B$151,Sales!$C$4:$C$151,A130),"—"))</f>
        <v/>
      </c>
      <c r="H130" s="14">
        <f>IF(A130="","",IFERROR(MAXIFS(Sales!$B$4:$B$151,Sales!$C$4:$C$151,A130),"—"))</f>
        <v/>
      </c>
      <c r="I130" s="13">
        <f>IF(A130="","",SUMIF(Sales!$C$4:$C$151,A130,Sales!$L$4:$L$151))</f>
        <v/>
      </c>
      <c r="J130" s="14">
        <f>IF(OR(A130="",I130=""),"",IF(I130&gt;=تنظیمات!$B$10,"A",IF(I130&gt;=تنظیمات!$B$11,"B","C")))</f>
        <v/>
      </c>
      <c r="K130" s="29" t="n"/>
      <c r="L130" s="29" t="n"/>
    </row>
    <row r="131" ht="20" customHeight="1">
      <c r="A131" s="29" t="n"/>
      <c r="B131" s="29" t="n"/>
      <c r="C131" s="29" t="n"/>
      <c r="D131" s="29" t="n"/>
      <c r="E131" s="29" t="n"/>
      <c r="F131" s="29" t="n"/>
      <c r="G131" s="14">
        <f>IF(A131="","",IFERROR(MINIFS(Sales!$B$4:$B$151,Sales!$C$4:$C$151,A131),"—"))</f>
        <v/>
      </c>
      <c r="H131" s="14">
        <f>IF(A131="","",IFERROR(MAXIFS(Sales!$B$4:$B$151,Sales!$C$4:$C$151,A131),"—"))</f>
        <v/>
      </c>
      <c r="I131" s="13">
        <f>IF(A131="","",SUMIF(Sales!$C$4:$C$151,A131,Sales!$L$4:$L$151))</f>
        <v/>
      </c>
      <c r="J131" s="14">
        <f>IF(OR(A131="",I131=""),"",IF(I131&gt;=تنظیمات!$B$10,"A",IF(I131&gt;=تنظیمات!$B$11,"B","C")))</f>
        <v/>
      </c>
      <c r="K131" s="29" t="n"/>
      <c r="L131" s="29" t="n"/>
    </row>
    <row r="132" ht="20" customHeight="1">
      <c r="A132" s="29" t="n"/>
      <c r="B132" s="29" t="n"/>
      <c r="C132" s="29" t="n"/>
      <c r="D132" s="29" t="n"/>
      <c r="E132" s="29" t="n"/>
      <c r="F132" s="29" t="n"/>
      <c r="G132" s="14">
        <f>IF(A132="","",IFERROR(MINIFS(Sales!$B$4:$B$151,Sales!$C$4:$C$151,A132),"—"))</f>
        <v/>
      </c>
      <c r="H132" s="14">
        <f>IF(A132="","",IFERROR(MAXIFS(Sales!$B$4:$B$151,Sales!$C$4:$C$151,A132),"—"))</f>
        <v/>
      </c>
      <c r="I132" s="13">
        <f>IF(A132="","",SUMIF(Sales!$C$4:$C$151,A132,Sales!$L$4:$L$151))</f>
        <v/>
      </c>
      <c r="J132" s="14">
        <f>IF(OR(A132="",I132=""),"",IF(I132&gt;=تنظیمات!$B$10,"A",IF(I132&gt;=تنظیمات!$B$11,"B","C")))</f>
        <v/>
      </c>
      <c r="K132" s="29" t="n"/>
      <c r="L132" s="29" t="n"/>
    </row>
    <row r="133" ht="20" customHeight="1">
      <c r="A133" s="29" t="n"/>
      <c r="B133" s="29" t="n"/>
      <c r="C133" s="29" t="n"/>
      <c r="D133" s="29" t="n"/>
      <c r="E133" s="29" t="n"/>
      <c r="F133" s="29" t="n"/>
      <c r="G133" s="14">
        <f>IF(A133="","",IFERROR(MINIFS(Sales!$B$4:$B$151,Sales!$C$4:$C$151,A133),"—"))</f>
        <v/>
      </c>
      <c r="H133" s="14">
        <f>IF(A133="","",IFERROR(MAXIFS(Sales!$B$4:$B$151,Sales!$C$4:$C$151,A133),"—"))</f>
        <v/>
      </c>
      <c r="I133" s="13">
        <f>IF(A133="","",SUMIF(Sales!$C$4:$C$151,A133,Sales!$L$4:$L$151))</f>
        <v/>
      </c>
      <c r="J133" s="14">
        <f>IF(OR(A133="",I133=""),"",IF(I133&gt;=تنظیمات!$B$10,"A",IF(I133&gt;=تنظیمات!$B$11,"B","C")))</f>
        <v/>
      </c>
      <c r="K133" s="29" t="n"/>
      <c r="L133" s="29" t="n"/>
    </row>
    <row r="134" ht="20" customHeight="1">
      <c r="A134" s="29" t="n"/>
      <c r="B134" s="29" t="n"/>
      <c r="C134" s="29" t="n"/>
      <c r="D134" s="29" t="n"/>
      <c r="E134" s="29" t="n"/>
      <c r="F134" s="29" t="n"/>
      <c r="G134" s="14">
        <f>IF(A134="","",IFERROR(MINIFS(Sales!$B$4:$B$151,Sales!$C$4:$C$151,A134),"—"))</f>
        <v/>
      </c>
      <c r="H134" s="14">
        <f>IF(A134="","",IFERROR(MAXIFS(Sales!$B$4:$B$151,Sales!$C$4:$C$151,A134),"—"))</f>
        <v/>
      </c>
      <c r="I134" s="13">
        <f>IF(A134="","",SUMIF(Sales!$C$4:$C$151,A134,Sales!$L$4:$L$151))</f>
        <v/>
      </c>
      <c r="J134" s="14">
        <f>IF(OR(A134="",I134=""),"",IF(I134&gt;=تنظیمات!$B$10,"A",IF(I134&gt;=تنظیمات!$B$11,"B","C")))</f>
        <v/>
      </c>
      <c r="K134" s="29" t="n"/>
      <c r="L134" s="29" t="n"/>
    </row>
    <row r="135" ht="20" customHeight="1">
      <c r="A135" s="29" t="n"/>
      <c r="B135" s="29" t="n"/>
      <c r="C135" s="29" t="n"/>
      <c r="D135" s="29" t="n"/>
      <c r="E135" s="29" t="n"/>
      <c r="F135" s="29" t="n"/>
      <c r="G135" s="14">
        <f>IF(A135="","",IFERROR(MINIFS(Sales!$B$4:$B$151,Sales!$C$4:$C$151,A135),"—"))</f>
        <v/>
      </c>
      <c r="H135" s="14">
        <f>IF(A135="","",IFERROR(MAXIFS(Sales!$B$4:$B$151,Sales!$C$4:$C$151,A135),"—"))</f>
        <v/>
      </c>
      <c r="I135" s="13">
        <f>IF(A135="","",SUMIF(Sales!$C$4:$C$151,A135,Sales!$L$4:$L$151))</f>
        <v/>
      </c>
      <c r="J135" s="14">
        <f>IF(OR(A135="",I135=""),"",IF(I135&gt;=تنظیمات!$B$10,"A",IF(I135&gt;=تنظیمات!$B$11,"B","C")))</f>
        <v/>
      </c>
      <c r="K135" s="29" t="n"/>
      <c r="L135" s="29" t="n"/>
    </row>
    <row r="136" ht="20" customHeight="1">
      <c r="A136" s="29" t="n"/>
      <c r="B136" s="29" t="n"/>
      <c r="C136" s="29" t="n"/>
      <c r="D136" s="29" t="n"/>
      <c r="E136" s="29" t="n"/>
      <c r="F136" s="29" t="n"/>
      <c r="G136" s="14">
        <f>IF(A136="","",IFERROR(MINIFS(Sales!$B$4:$B$151,Sales!$C$4:$C$151,A136),"—"))</f>
        <v/>
      </c>
      <c r="H136" s="14">
        <f>IF(A136="","",IFERROR(MAXIFS(Sales!$B$4:$B$151,Sales!$C$4:$C$151,A136),"—"))</f>
        <v/>
      </c>
      <c r="I136" s="13">
        <f>IF(A136="","",SUMIF(Sales!$C$4:$C$151,A136,Sales!$L$4:$L$151))</f>
        <v/>
      </c>
      <c r="J136" s="14">
        <f>IF(OR(A136="",I136=""),"",IF(I136&gt;=تنظیمات!$B$10,"A",IF(I136&gt;=تنظیمات!$B$11,"B","C")))</f>
        <v/>
      </c>
      <c r="K136" s="29" t="n"/>
      <c r="L136" s="29" t="n"/>
    </row>
    <row r="137" ht="20" customHeight="1">
      <c r="A137" s="29" t="n"/>
      <c r="B137" s="29" t="n"/>
      <c r="C137" s="29" t="n"/>
      <c r="D137" s="29" t="n"/>
      <c r="E137" s="29" t="n"/>
      <c r="F137" s="29" t="n"/>
      <c r="G137" s="14">
        <f>IF(A137="","",IFERROR(MINIFS(Sales!$B$4:$B$151,Sales!$C$4:$C$151,A137),"—"))</f>
        <v/>
      </c>
      <c r="H137" s="14">
        <f>IF(A137="","",IFERROR(MAXIFS(Sales!$B$4:$B$151,Sales!$C$4:$C$151,A137),"—"))</f>
        <v/>
      </c>
      <c r="I137" s="13">
        <f>IF(A137="","",SUMIF(Sales!$C$4:$C$151,A137,Sales!$L$4:$L$151))</f>
        <v/>
      </c>
      <c r="J137" s="14">
        <f>IF(OR(A137="",I137=""),"",IF(I137&gt;=تنظیمات!$B$10,"A",IF(I137&gt;=تنظیمات!$B$11,"B","C")))</f>
        <v/>
      </c>
      <c r="K137" s="29" t="n"/>
      <c r="L137" s="29" t="n"/>
    </row>
    <row r="138" ht="20" customHeight="1">
      <c r="A138" s="29" t="n"/>
      <c r="B138" s="29" t="n"/>
      <c r="C138" s="29" t="n"/>
      <c r="D138" s="29" t="n"/>
      <c r="E138" s="29" t="n"/>
      <c r="F138" s="29" t="n"/>
      <c r="G138" s="14">
        <f>IF(A138="","",IFERROR(MINIFS(Sales!$B$4:$B$151,Sales!$C$4:$C$151,A138),"—"))</f>
        <v/>
      </c>
      <c r="H138" s="14">
        <f>IF(A138="","",IFERROR(MAXIFS(Sales!$B$4:$B$151,Sales!$C$4:$C$151,A138),"—"))</f>
        <v/>
      </c>
      <c r="I138" s="13">
        <f>IF(A138="","",SUMIF(Sales!$C$4:$C$151,A138,Sales!$L$4:$L$151))</f>
        <v/>
      </c>
      <c r="J138" s="14">
        <f>IF(OR(A138="",I138=""),"",IF(I138&gt;=تنظیمات!$B$10,"A",IF(I138&gt;=تنظیمات!$B$11,"B","C")))</f>
        <v/>
      </c>
      <c r="K138" s="29" t="n"/>
      <c r="L138" s="29" t="n"/>
    </row>
    <row r="139" ht="20" customHeight="1">
      <c r="A139" s="29" t="n"/>
      <c r="B139" s="29" t="n"/>
      <c r="C139" s="29" t="n"/>
      <c r="D139" s="29" t="n"/>
      <c r="E139" s="29" t="n"/>
      <c r="F139" s="29" t="n"/>
      <c r="G139" s="14">
        <f>IF(A139="","",IFERROR(MINIFS(Sales!$B$4:$B$151,Sales!$C$4:$C$151,A139),"—"))</f>
        <v/>
      </c>
      <c r="H139" s="14">
        <f>IF(A139="","",IFERROR(MAXIFS(Sales!$B$4:$B$151,Sales!$C$4:$C$151,A139),"—"))</f>
        <v/>
      </c>
      <c r="I139" s="13">
        <f>IF(A139="","",SUMIF(Sales!$C$4:$C$151,A139,Sales!$L$4:$L$151))</f>
        <v/>
      </c>
      <c r="J139" s="14">
        <f>IF(OR(A139="",I139=""),"",IF(I139&gt;=تنظیمات!$B$10,"A",IF(I139&gt;=تنظیمات!$B$11,"B","C")))</f>
        <v/>
      </c>
      <c r="K139" s="29" t="n"/>
      <c r="L139" s="29" t="n"/>
    </row>
    <row r="140" ht="20" customHeight="1">
      <c r="A140" s="29" t="n"/>
      <c r="B140" s="29" t="n"/>
      <c r="C140" s="29" t="n"/>
      <c r="D140" s="29" t="n"/>
      <c r="E140" s="29" t="n"/>
      <c r="F140" s="29" t="n"/>
      <c r="G140" s="14">
        <f>IF(A140="","",IFERROR(MINIFS(Sales!$B$4:$B$151,Sales!$C$4:$C$151,A140),"—"))</f>
        <v/>
      </c>
      <c r="H140" s="14">
        <f>IF(A140="","",IFERROR(MAXIFS(Sales!$B$4:$B$151,Sales!$C$4:$C$151,A140),"—"))</f>
        <v/>
      </c>
      <c r="I140" s="13">
        <f>IF(A140="","",SUMIF(Sales!$C$4:$C$151,A140,Sales!$L$4:$L$151))</f>
        <v/>
      </c>
      <c r="J140" s="14">
        <f>IF(OR(A140="",I140=""),"",IF(I140&gt;=تنظیمات!$B$10,"A",IF(I140&gt;=تنظیمات!$B$11,"B","C")))</f>
        <v/>
      </c>
      <c r="K140" s="29" t="n"/>
      <c r="L140" s="29" t="n"/>
    </row>
    <row r="141" ht="20" customHeight="1">
      <c r="A141" s="29" t="n"/>
      <c r="B141" s="29" t="n"/>
      <c r="C141" s="29" t="n"/>
      <c r="D141" s="29" t="n"/>
      <c r="E141" s="29" t="n"/>
      <c r="F141" s="29" t="n"/>
      <c r="G141" s="14">
        <f>IF(A141="","",IFERROR(MINIFS(Sales!$B$4:$B$151,Sales!$C$4:$C$151,A141),"—"))</f>
        <v/>
      </c>
      <c r="H141" s="14">
        <f>IF(A141="","",IFERROR(MAXIFS(Sales!$B$4:$B$151,Sales!$C$4:$C$151,A141),"—"))</f>
        <v/>
      </c>
      <c r="I141" s="13">
        <f>IF(A141="","",SUMIF(Sales!$C$4:$C$151,A141,Sales!$L$4:$L$151))</f>
        <v/>
      </c>
      <c r="J141" s="14">
        <f>IF(OR(A141="",I141=""),"",IF(I141&gt;=تنظیمات!$B$10,"A",IF(I141&gt;=تنظیمات!$B$11,"B","C")))</f>
        <v/>
      </c>
      <c r="K141" s="29" t="n"/>
      <c r="L141" s="29" t="n"/>
    </row>
    <row r="142" ht="20" customHeight="1">
      <c r="A142" s="29" t="n"/>
      <c r="B142" s="29" t="n"/>
      <c r="C142" s="29" t="n"/>
      <c r="D142" s="29" t="n"/>
      <c r="E142" s="29" t="n"/>
      <c r="F142" s="29" t="n"/>
      <c r="G142" s="14">
        <f>IF(A142="","",IFERROR(MINIFS(Sales!$B$4:$B$151,Sales!$C$4:$C$151,A142),"—"))</f>
        <v/>
      </c>
      <c r="H142" s="14">
        <f>IF(A142="","",IFERROR(MAXIFS(Sales!$B$4:$B$151,Sales!$C$4:$C$151,A142),"—"))</f>
        <v/>
      </c>
      <c r="I142" s="13">
        <f>IF(A142="","",SUMIF(Sales!$C$4:$C$151,A142,Sales!$L$4:$L$151))</f>
        <v/>
      </c>
      <c r="J142" s="14">
        <f>IF(OR(A142="",I142=""),"",IF(I142&gt;=تنظیمات!$B$10,"A",IF(I142&gt;=تنظیمات!$B$11,"B","C")))</f>
        <v/>
      </c>
      <c r="K142" s="29" t="n"/>
      <c r="L142" s="29" t="n"/>
    </row>
    <row r="143" ht="20" customHeight="1">
      <c r="A143" s="29" t="n"/>
      <c r="B143" s="29" t="n"/>
      <c r="C143" s="29" t="n"/>
      <c r="D143" s="29" t="n"/>
      <c r="E143" s="29" t="n"/>
      <c r="F143" s="29" t="n"/>
      <c r="G143" s="14">
        <f>IF(A143="","",IFERROR(MINIFS(Sales!$B$4:$B$151,Sales!$C$4:$C$151,A143),"—"))</f>
        <v/>
      </c>
      <c r="H143" s="14">
        <f>IF(A143="","",IFERROR(MAXIFS(Sales!$B$4:$B$151,Sales!$C$4:$C$151,A143),"—"))</f>
        <v/>
      </c>
      <c r="I143" s="13">
        <f>IF(A143="","",SUMIF(Sales!$C$4:$C$151,A143,Sales!$L$4:$L$151))</f>
        <v/>
      </c>
      <c r="J143" s="14">
        <f>IF(OR(A143="",I143=""),"",IF(I143&gt;=تنظیمات!$B$10,"A",IF(I143&gt;=تنظیمات!$B$11,"B","C")))</f>
        <v/>
      </c>
      <c r="K143" s="29" t="n"/>
      <c r="L143" s="29" t="n"/>
    </row>
    <row r="144" ht="20" customHeight="1">
      <c r="A144" s="29" t="n"/>
      <c r="B144" s="29" t="n"/>
      <c r="C144" s="29" t="n"/>
      <c r="D144" s="29" t="n"/>
      <c r="E144" s="29" t="n"/>
      <c r="F144" s="29" t="n"/>
      <c r="G144" s="14">
        <f>IF(A144="","",IFERROR(MINIFS(Sales!$B$4:$B$151,Sales!$C$4:$C$151,A144),"—"))</f>
        <v/>
      </c>
      <c r="H144" s="14">
        <f>IF(A144="","",IFERROR(MAXIFS(Sales!$B$4:$B$151,Sales!$C$4:$C$151,A144),"—"))</f>
        <v/>
      </c>
      <c r="I144" s="13">
        <f>IF(A144="","",SUMIF(Sales!$C$4:$C$151,A144,Sales!$L$4:$L$151))</f>
        <v/>
      </c>
      <c r="J144" s="14">
        <f>IF(OR(A144="",I144=""),"",IF(I144&gt;=تنظیمات!$B$10,"A",IF(I144&gt;=تنظیمات!$B$11,"B","C")))</f>
        <v/>
      </c>
      <c r="K144" s="29" t="n"/>
      <c r="L144" s="29" t="n"/>
    </row>
    <row r="145" ht="20" customHeight="1">
      <c r="A145" s="29" t="n"/>
      <c r="B145" s="29" t="n"/>
      <c r="C145" s="29" t="n"/>
      <c r="D145" s="29" t="n"/>
      <c r="E145" s="29" t="n"/>
      <c r="F145" s="29" t="n"/>
      <c r="G145" s="14">
        <f>IF(A145="","",IFERROR(MINIFS(Sales!$B$4:$B$151,Sales!$C$4:$C$151,A145),"—"))</f>
        <v/>
      </c>
      <c r="H145" s="14">
        <f>IF(A145="","",IFERROR(MAXIFS(Sales!$B$4:$B$151,Sales!$C$4:$C$151,A145),"—"))</f>
        <v/>
      </c>
      <c r="I145" s="13">
        <f>IF(A145="","",SUMIF(Sales!$C$4:$C$151,A145,Sales!$L$4:$L$151))</f>
        <v/>
      </c>
      <c r="J145" s="14">
        <f>IF(OR(A145="",I145=""),"",IF(I145&gt;=تنظیمات!$B$10,"A",IF(I145&gt;=تنظیمات!$B$11,"B","C")))</f>
        <v/>
      </c>
      <c r="K145" s="29" t="n"/>
      <c r="L145" s="29" t="n"/>
    </row>
    <row r="146" ht="20" customHeight="1">
      <c r="A146" s="29" t="n"/>
      <c r="B146" s="29" t="n"/>
      <c r="C146" s="29" t="n"/>
      <c r="D146" s="29" t="n"/>
      <c r="E146" s="29" t="n"/>
      <c r="F146" s="29" t="n"/>
      <c r="G146" s="14">
        <f>IF(A146="","",IFERROR(MINIFS(Sales!$B$4:$B$151,Sales!$C$4:$C$151,A146),"—"))</f>
        <v/>
      </c>
      <c r="H146" s="14">
        <f>IF(A146="","",IFERROR(MAXIFS(Sales!$B$4:$B$151,Sales!$C$4:$C$151,A146),"—"))</f>
        <v/>
      </c>
      <c r="I146" s="13">
        <f>IF(A146="","",SUMIF(Sales!$C$4:$C$151,A146,Sales!$L$4:$L$151))</f>
        <v/>
      </c>
      <c r="J146" s="14">
        <f>IF(OR(A146="",I146=""),"",IF(I146&gt;=تنظیمات!$B$10,"A",IF(I146&gt;=تنظیمات!$B$11,"B","C")))</f>
        <v/>
      </c>
      <c r="K146" s="29" t="n"/>
      <c r="L146" s="29" t="n"/>
    </row>
    <row r="147" ht="20" customHeight="1">
      <c r="A147" s="29" t="n"/>
      <c r="B147" s="29" t="n"/>
      <c r="C147" s="29" t="n"/>
      <c r="D147" s="29" t="n"/>
      <c r="E147" s="29" t="n"/>
      <c r="F147" s="29" t="n"/>
      <c r="G147" s="14">
        <f>IF(A147="","",IFERROR(MINIFS(Sales!$B$4:$B$151,Sales!$C$4:$C$151,A147),"—"))</f>
        <v/>
      </c>
      <c r="H147" s="14">
        <f>IF(A147="","",IFERROR(MAXIFS(Sales!$B$4:$B$151,Sales!$C$4:$C$151,A147),"—"))</f>
        <v/>
      </c>
      <c r="I147" s="13">
        <f>IF(A147="","",SUMIF(Sales!$C$4:$C$151,A147,Sales!$L$4:$L$151))</f>
        <v/>
      </c>
      <c r="J147" s="14">
        <f>IF(OR(A147="",I147=""),"",IF(I147&gt;=تنظیمات!$B$10,"A",IF(I147&gt;=تنظیمات!$B$11,"B","C")))</f>
        <v/>
      </c>
      <c r="K147" s="29" t="n"/>
      <c r="L147" s="29" t="n"/>
    </row>
    <row r="148" ht="20" customHeight="1">
      <c r="A148" s="29" t="n"/>
      <c r="B148" s="29" t="n"/>
      <c r="C148" s="29" t="n"/>
      <c r="D148" s="29" t="n"/>
      <c r="E148" s="29" t="n"/>
      <c r="F148" s="29" t="n"/>
      <c r="G148" s="14">
        <f>IF(A148="","",IFERROR(MINIFS(Sales!$B$4:$B$151,Sales!$C$4:$C$151,A148),"—"))</f>
        <v/>
      </c>
      <c r="H148" s="14">
        <f>IF(A148="","",IFERROR(MAXIFS(Sales!$B$4:$B$151,Sales!$C$4:$C$151,A148),"—"))</f>
        <v/>
      </c>
      <c r="I148" s="13">
        <f>IF(A148="","",SUMIF(Sales!$C$4:$C$151,A148,Sales!$L$4:$L$151))</f>
        <v/>
      </c>
      <c r="J148" s="14">
        <f>IF(OR(A148="",I148=""),"",IF(I148&gt;=تنظیمات!$B$10,"A",IF(I148&gt;=تنظیمات!$B$11,"B","C")))</f>
        <v/>
      </c>
      <c r="K148" s="29" t="n"/>
      <c r="L148" s="29" t="n"/>
    </row>
    <row r="149" ht="20" customHeight="1">
      <c r="A149" s="29" t="n"/>
      <c r="B149" s="29" t="n"/>
      <c r="C149" s="29" t="n"/>
      <c r="D149" s="29" t="n"/>
      <c r="E149" s="29" t="n"/>
      <c r="F149" s="29" t="n"/>
      <c r="G149" s="14">
        <f>IF(A149="","",IFERROR(MINIFS(Sales!$B$4:$B$151,Sales!$C$4:$C$151,A149),"—"))</f>
        <v/>
      </c>
      <c r="H149" s="14">
        <f>IF(A149="","",IFERROR(MAXIFS(Sales!$B$4:$B$151,Sales!$C$4:$C$151,A149),"—"))</f>
        <v/>
      </c>
      <c r="I149" s="13">
        <f>IF(A149="","",SUMIF(Sales!$C$4:$C$151,A149,Sales!$L$4:$L$151))</f>
        <v/>
      </c>
      <c r="J149" s="14">
        <f>IF(OR(A149="",I149=""),"",IF(I149&gt;=تنظیمات!$B$10,"A",IF(I149&gt;=تنظیمات!$B$11,"B","C")))</f>
        <v/>
      </c>
      <c r="K149" s="29" t="n"/>
      <c r="L149" s="29" t="n"/>
    </row>
    <row r="150" ht="20" customHeight="1">
      <c r="A150" s="29" t="n"/>
      <c r="B150" s="29" t="n"/>
      <c r="C150" s="29" t="n"/>
      <c r="D150" s="29" t="n"/>
      <c r="E150" s="29" t="n"/>
      <c r="F150" s="29" t="n"/>
      <c r="G150" s="14">
        <f>IF(A150="","",IFERROR(MINIFS(Sales!$B$4:$B$151,Sales!$C$4:$C$151,A150),"—"))</f>
        <v/>
      </c>
      <c r="H150" s="14">
        <f>IF(A150="","",IFERROR(MAXIFS(Sales!$B$4:$B$151,Sales!$C$4:$C$151,A150),"—"))</f>
        <v/>
      </c>
      <c r="I150" s="13">
        <f>IF(A150="","",SUMIF(Sales!$C$4:$C$151,A150,Sales!$L$4:$L$151))</f>
        <v/>
      </c>
      <c r="J150" s="14">
        <f>IF(OR(A150="",I150=""),"",IF(I150&gt;=تنظیمات!$B$10,"A",IF(I150&gt;=تنظیمات!$B$11,"B","C")))</f>
        <v/>
      </c>
      <c r="K150" s="29" t="n"/>
      <c r="L150" s="29" t="n"/>
    </row>
    <row r="151" ht="20" customHeight="1">
      <c r="A151" s="29" t="n"/>
      <c r="B151" s="29" t="n"/>
      <c r="C151" s="29" t="n"/>
      <c r="D151" s="29" t="n"/>
      <c r="E151" s="29" t="n"/>
      <c r="F151" s="29" t="n"/>
      <c r="G151" s="14">
        <f>IF(A151="","",IFERROR(MINIFS(Sales!$B$4:$B$151,Sales!$C$4:$C$151,A151),"—"))</f>
        <v/>
      </c>
      <c r="H151" s="14">
        <f>IF(A151="","",IFERROR(MAXIFS(Sales!$B$4:$B$151,Sales!$C$4:$C$151,A151),"—"))</f>
        <v/>
      </c>
      <c r="I151" s="13">
        <f>IF(A151="","",SUMIF(Sales!$C$4:$C$151,A151,Sales!$L$4:$L$151))</f>
        <v/>
      </c>
      <c r="J151" s="14">
        <f>IF(OR(A151="",I151=""),"",IF(I151&gt;=تنظیمات!$B$10,"A",IF(I151&gt;=تنظیمات!$B$11,"B","C")))</f>
        <v/>
      </c>
      <c r="K151" s="29" t="n"/>
      <c r="L151" s="2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L151"/>
  <mergeCells count="2">
    <mergeCell ref="A2:N2"/>
    <mergeCell ref="A1:N1"/>
  </mergeCells>
  <conditionalFormatting sqref="J4:J151">
    <cfRule type="cellIs" priority="1" operator="equal" dxfId="3">
      <formula>"مطلوب"</formula>
    </cfRule>
    <cfRule type="cellIs" priority="2" operator="equal" dxfId="4">
      <formula>"نیاز به بررسی"</formula>
    </cfRule>
    <cfRule type="cellIs" priority="3" operator="equal" dxfId="5">
      <formula>"بحرانی"</formula>
    </cfRule>
    <cfRule type="cellIs" priority="4" operator="equal" dxfId="3">
      <formula>"A"</formula>
    </cfRule>
    <cfRule type="cellIs" priority="5" operator="equal" dxfId="4">
      <formula>"B"</formula>
    </cfRule>
    <cfRule type="cellIs" priority="6" operator="equal" dxfId="9">
      <formula>"C"</formula>
    </cfRule>
  </conditionalFormatting>
  <dataValidations count="3"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=CityList</formula1>
    </dataValidation>
    <dataValidation sqref="E4:E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=CustTypeList</formula1>
    </dataValidation>
    <dataValidation sqref="K4:K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=CustStatusList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P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  <col width="10" customWidth="1" min="10" max="10"/>
    <col width="12" customWidth="1" min="11" max="11"/>
    <col width="28" customWidth="1" min="12" max="12"/>
    <col width="16" customWidth="1" min="13" max="13"/>
    <col width="12" customWidth="1" min="14" max="14"/>
    <col width="8" customWidth="1" min="15" max="15"/>
    <col width="8" customWidth="1" min="16" max="16"/>
  </cols>
  <sheetData>
    <row r="1" ht="28" customHeight="1">
      <c r="A1" s="1" t="inlineStr">
        <is>
          <t>گزارش ویزیتور / پخش</t>
        </is>
      </c>
    </row>
    <row r="2" ht="20" customHeight="1">
      <c r="A2" s="22" t="inlineStr">
        <is>
          <t>درصد انجام ویزیت و نرخ تبدیل خودکار است. هر روز یک ردیف — از روی فرم کاغذی ویزیتور.</t>
        </is>
      </c>
    </row>
    <row r="3" ht="28" customHeight="1">
      <c r="A3" s="3" t="inlineStr">
        <is>
          <t>ردیف</t>
        </is>
      </c>
      <c r="B3" s="3" t="inlineStr">
        <is>
          <t>تاریخ شمسی</t>
        </is>
      </c>
      <c r="C3" s="3" t="inlineStr">
        <is>
          <t>منطقه</t>
        </is>
      </c>
      <c r="D3" s="3" t="inlineStr">
        <is>
          <t>برنامه‌ریزی‌شده</t>
        </is>
      </c>
      <c r="E3" s="3" t="inlineStr">
        <is>
          <t>ویزیت‌شده</t>
        </is>
      </c>
      <c r="F3" s="3" t="inlineStr">
        <is>
          <t>سفارش گرفته‌شده</t>
        </is>
      </c>
      <c r="G3" s="3" t="inlineStr">
        <is>
          <t>مبلغ سفارش</t>
        </is>
      </c>
      <c r="H3" s="3" t="inlineStr">
        <is>
          <t>مشتری جدید</t>
        </is>
      </c>
      <c r="I3" s="3" t="inlineStr">
        <is>
          <t>مبلغ وصول‌شده</t>
        </is>
      </c>
      <c r="J3" s="3" t="inlineStr">
        <is>
          <t>کیلومتر</t>
        </is>
      </c>
      <c r="K3" s="3" t="inlineStr">
        <is>
          <t>هزینه سوخت</t>
        </is>
      </c>
      <c r="L3" s="3" t="inlineStr">
        <is>
          <t>توضیحات</t>
        </is>
      </c>
      <c r="M3" s="3" t="inlineStr">
        <is>
          <t>درصد انجام ویزیت</t>
        </is>
      </c>
      <c r="N3" s="3" t="inlineStr">
        <is>
          <t>نرخ تبدیل</t>
        </is>
      </c>
      <c r="O3" s="3" t="inlineStr">
        <is>
          <t>سال</t>
        </is>
      </c>
      <c r="P3" s="3" t="inlineStr">
        <is>
          <t>ماه</t>
        </is>
      </c>
    </row>
    <row r="4" ht="20" customHeight="1">
      <c r="A4" s="21">
        <f>IF(B4="","",ROW()-3)</f>
        <v/>
      </c>
      <c r="B4" s="29" t="inlineStr">
        <is>
          <t>1405/06/04</t>
        </is>
      </c>
      <c r="C4" s="29" t="inlineStr">
        <is>
          <t>پلدختر شهر</t>
        </is>
      </c>
      <c r="D4" s="31" t="n">
        <v>8</v>
      </c>
      <c r="E4" s="31" t="n">
        <v>7</v>
      </c>
      <c r="F4" s="31" t="n">
        <v>3</v>
      </c>
      <c r="G4" s="31" t="n">
        <v>7140000</v>
      </c>
      <c r="H4" s="31" t="n">
        <v>0</v>
      </c>
      <c r="I4" s="31" t="n">
        <v>6060000</v>
      </c>
      <c r="J4" s="31" t="n">
        <v>42</v>
      </c>
      <c r="K4" s="31" t="n">
        <v>420000</v>
      </c>
      <c r="L4" s="29" t="inlineStr"/>
      <c r="M4" s="19">
        <f>IF(OR(D4="",D4=0),"",E4/D4)</f>
        <v/>
      </c>
      <c r="N4" s="19">
        <f>IF(OR(E4="",E4=0),"",F4/E4)</f>
        <v/>
      </c>
      <c r="O4" s="21">
        <f>IF(B4="","",VALUE(LEFT(B4,4)))</f>
        <v/>
      </c>
      <c r="P4" s="21">
        <f>IF(B4="","",VALUE(MID(B4,6,2)))</f>
        <v/>
      </c>
    </row>
    <row r="5" ht="20" customHeight="1">
      <c r="A5" s="21">
        <f>IF(B5="","",ROW()-3)</f>
        <v/>
      </c>
      <c r="B5" s="29" t="inlineStr">
        <is>
          <t>1405/06/05</t>
        </is>
      </c>
      <c r="C5" s="29" t="inlineStr">
        <is>
          <t>خرم‌آباد</t>
        </is>
      </c>
      <c r="D5" s="31" t="n">
        <v>6</v>
      </c>
      <c r="E5" s="31" t="n">
        <v>5</v>
      </c>
      <c r="F5" s="31" t="n">
        <v>1</v>
      </c>
      <c r="G5" s="31" t="n">
        <v>7840000</v>
      </c>
      <c r="H5" s="31" t="n">
        <v>0</v>
      </c>
      <c r="I5" s="31" t="n">
        <v>7840000</v>
      </c>
      <c r="J5" s="31" t="n">
        <v>118</v>
      </c>
      <c r="K5" s="31" t="n">
        <v>1100000</v>
      </c>
      <c r="L5" s="29" t="inlineStr"/>
      <c r="M5" s="19">
        <f>IF(OR(D5="",D5=0),"",E5/D5)</f>
        <v/>
      </c>
      <c r="N5" s="19">
        <f>IF(OR(E5="",E5=0),"",F5/E5)</f>
        <v/>
      </c>
      <c r="O5" s="21">
        <f>IF(B5="","",VALUE(LEFT(B5,4)))</f>
        <v/>
      </c>
      <c r="P5" s="21">
        <f>IF(B5="","",VALUE(MID(B5,6,2)))</f>
        <v/>
      </c>
    </row>
    <row r="6" ht="20" customHeight="1">
      <c r="A6" s="21">
        <f>IF(B6="","",ROW()-3)</f>
        <v/>
      </c>
      <c r="B6" s="29" t="inlineStr">
        <is>
          <t>1405/06/07</t>
        </is>
      </c>
      <c r="C6" s="29" t="inlineStr">
        <is>
          <t>کوهدشت</t>
        </is>
      </c>
      <c r="D6" s="31" t="n">
        <v>7</v>
      </c>
      <c r="E6" s="31" t="n">
        <v>6</v>
      </c>
      <c r="F6" s="31" t="n">
        <v>1</v>
      </c>
      <c r="G6" s="31" t="n">
        <v>4120000</v>
      </c>
      <c r="H6" s="31" t="n">
        <v>0</v>
      </c>
      <c r="I6" s="31" t="n">
        <v>2500000</v>
      </c>
      <c r="J6" s="31" t="n">
        <v>95</v>
      </c>
      <c r="K6" s="31" t="n">
        <v>900000</v>
      </c>
      <c r="L6" s="29" t="inlineStr">
        <is>
          <t>یکی از مشتری‌ها نبود</t>
        </is>
      </c>
      <c r="M6" s="19">
        <f>IF(OR(D6="",D6=0),"",E6/D6)</f>
        <v/>
      </c>
      <c r="N6" s="19">
        <f>IF(OR(E6="",E6=0),"",F6/E6)</f>
        <v/>
      </c>
      <c r="O6" s="21">
        <f>IF(B6="","",VALUE(LEFT(B6,4)))</f>
        <v/>
      </c>
      <c r="P6" s="21">
        <f>IF(B6="","",VALUE(MID(B6,6,2)))</f>
        <v/>
      </c>
    </row>
    <row r="7" ht="20" customHeight="1">
      <c r="A7" s="21">
        <f>IF(B7="","",ROW()-3)</f>
        <v/>
      </c>
      <c r="B7" s="29" t="inlineStr">
        <is>
          <t>1405/06/08</t>
        </is>
      </c>
      <c r="C7" s="29" t="inlineStr">
        <is>
          <t>پلدختر شهر</t>
        </is>
      </c>
      <c r="D7" s="31" t="n">
        <v>6</v>
      </c>
      <c r="E7" s="31" t="n">
        <v>6</v>
      </c>
      <c r="F7" s="31" t="n">
        <v>2</v>
      </c>
      <c r="G7" s="31" t="n">
        <v>1760000</v>
      </c>
      <c r="H7" s="31" t="n">
        <v>0</v>
      </c>
      <c r="I7" s="31" t="n">
        <v>1760000</v>
      </c>
      <c r="J7" s="31" t="n">
        <v>38</v>
      </c>
      <c r="K7" s="31" t="n">
        <v>380000</v>
      </c>
      <c r="L7" s="29" t="inlineStr"/>
      <c r="M7" s="19">
        <f>IF(OR(D7="",D7=0),"",E7/D7)</f>
        <v/>
      </c>
      <c r="N7" s="19">
        <f>IF(OR(E7="",E7=0),"",F7/E7)</f>
        <v/>
      </c>
      <c r="O7" s="21">
        <f>IF(B7="","",VALUE(LEFT(B7,4)))</f>
        <v/>
      </c>
      <c r="P7" s="21">
        <f>IF(B7="","",VALUE(MID(B7,6,2)))</f>
        <v/>
      </c>
    </row>
    <row r="8" ht="20" customHeight="1">
      <c r="A8" s="21">
        <f>IF(B8="","",ROW()-3)</f>
        <v/>
      </c>
      <c r="B8" s="29" t="inlineStr">
        <is>
          <t>1405/06/09</t>
        </is>
      </c>
      <c r="C8" s="29" t="inlineStr">
        <is>
          <t>خرم‌آباد</t>
        </is>
      </c>
      <c r="D8" s="31" t="n">
        <v>5</v>
      </c>
      <c r="E8" s="31" t="n">
        <v>4</v>
      </c>
      <c r="F8" s="31" t="n">
        <v>1</v>
      </c>
      <c r="G8" s="31" t="n">
        <v>2200000</v>
      </c>
      <c r="H8" s="31" t="n">
        <v>1</v>
      </c>
      <c r="I8" s="31" t="n">
        <v>0</v>
      </c>
      <c r="J8" s="31" t="n">
        <v>120</v>
      </c>
      <c r="K8" s="31" t="n">
        <v>1150000</v>
      </c>
      <c r="L8" s="29" t="inlineStr">
        <is>
          <t>رستوران زاگرس مشتری جدید</t>
        </is>
      </c>
      <c r="M8" s="19">
        <f>IF(OR(D8="",D8=0),"",E8/D8)</f>
        <v/>
      </c>
      <c r="N8" s="19">
        <f>IF(OR(E8="",E8=0),"",F8/E8)</f>
        <v/>
      </c>
      <c r="O8" s="21">
        <f>IF(B8="","",VALUE(LEFT(B8,4)))</f>
        <v/>
      </c>
      <c r="P8" s="21">
        <f>IF(B8="","",VALUE(MID(B8,6,2)))</f>
        <v/>
      </c>
    </row>
    <row r="9" ht="20" customHeight="1">
      <c r="A9" s="21">
        <f>IF(B9="","",ROW()-3)</f>
        <v/>
      </c>
      <c r="B9" s="29" t="inlineStr">
        <is>
          <t>1405/06/10</t>
        </is>
      </c>
      <c r="C9" s="29" t="inlineStr">
        <is>
          <t>معمولان</t>
        </is>
      </c>
      <c r="D9" s="31" t="n">
        <v>5</v>
      </c>
      <c r="E9" s="31" t="n">
        <v>4</v>
      </c>
      <c r="F9" s="31" t="n">
        <v>1</v>
      </c>
      <c r="G9" s="31" t="n">
        <v>3450000</v>
      </c>
      <c r="H9" s="31" t="n">
        <v>1</v>
      </c>
      <c r="I9" s="31" t="n">
        <v>2000000</v>
      </c>
      <c r="J9" s="31" t="n">
        <v>55</v>
      </c>
      <c r="K9" s="31" t="n">
        <v>520000</v>
      </c>
      <c r="L9" s="29" t="inlineStr"/>
      <c r="M9" s="19">
        <f>IF(OR(D9="",D9=0),"",E9/D9)</f>
        <v/>
      </c>
      <c r="N9" s="19">
        <f>IF(OR(E9="",E9=0),"",F9/E9)</f>
        <v/>
      </c>
      <c r="O9" s="21">
        <f>IF(B9="","",VALUE(LEFT(B9,4)))</f>
        <v/>
      </c>
      <c r="P9" s="21">
        <f>IF(B9="","",VALUE(MID(B9,6,2)))</f>
        <v/>
      </c>
    </row>
    <row r="10" ht="20" customHeight="1">
      <c r="A10" s="21">
        <f>IF(B10="","",ROW()-3)</f>
        <v/>
      </c>
      <c r="B10" s="29" t="inlineStr">
        <is>
          <t>1405/06/11</t>
        </is>
      </c>
      <c r="C10" s="29" t="inlineStr">
        <is>
          <t>پلدختر شهر</t>
        </is>
      </c>
      <c r="D10" s="31" t="n">
        <v>6</v>
      </c>
      <c r="E10" s="31" t="n">
        <v>5</v>
      </c>
      <c r="F10" s="31" t="n">
        <v>1</v>
      </c>
      <c r="G10" s="31" t="n">
        <v>1840000</v>
      </c>
      <c r="H10" s="31" t="n">
        <v>0</v>
      </c>
      <c r="I10" s="31" t="n">
        <v>1840000</v>
      </c>
      <c r="J10" s="31" t="n">
        <v>40</v>
      </c>
      <c r="K10" s="31" t="n">
        <v>400000</v>
      </c>
      <c r="L10" s="29" t="inlineStr"/>
      <c r="M10" s="19">
        <f>IF(OR(D10="",D10=0),"",E10/D10)</f>
        <v/>
      </c>
      <c r="N10" s="19">
        <f>IF(OR(E10="",E10=0),"",F10/E10)</f>
        <v/>
      </c>
      <c r="O10" s="21">
        <f>IF(B10="","",VALUE(LEFT(B10,4)))</f>
        <v/>
      </c>
      <c r="P10" s="21">
        <f>IF(B10="","",VALUE(MID(B10,6,2)))</f>
        <v/>
      </c>
    </row>
    <row r="11" ht="20" customHeight="1">
      <c r="A11" s="21">
        <f>IF(B11="","",ROW()-3)</f>
        <v/>
      </c>
      <c r="B11" s="29" t="inlineStr">
        <is>
          <t>1405/06/12</t>
        </is>
      </c>
      <c r="C11" s="29" t="inlineStr">
        <is>
          <t>رومشکان</t>
        </is>
      </c>
      <c r="D11" s="31" t="n">
        <v>5</v>
      </c>
      <c r="E11" s="31" t="n">
        <v>3</v>
      </c>
      <c r="F11" s="31" t="n">
        <v>1</v>
      </c>
      <c r="G11" s="31" t="n">
        <v>2688000</v>
      </c>
      <c r="H11" s="31" t="n">
        <v>1</v>
      </c>
      <c r="I11" s="31" t="n">
        <v>1500000</v>
      </c>
      <c r="J11" s="31" t="n">
        <v>70</v>
      </c>
      <c r="K11" s="31" t="n">
        <v>680000</v>
      </c>
      <c r="L11" s="29" t="inlineStr">
        <is>
          <t>جاده خراب — ۳ ویزیت جا ماند</t>
        </is>
      </c>
      <c r="M11" s="19">
        <f>IF(OR(D11="",D11=0),"",E11/D11)</f>
        <v/>
      </c>
      <c r="N11" s="19">
        <f>IF(OR(E11="",E11=0),"",F11/E11)</f>
        <v/>
      </c>
      <c r="O11" s="21">
        <f>IF(B11="","",VALUE(LEFT(B11,4)))</f>
        <v/>
      </c>
      <c r="P11" s="21">
        <f>IF(B11="","",VALUE(MID(B11,6,2)))</f>
        <v/>
      </c>
    </row>
    <row r="12" ht="20" customHeight="1">
      <c r="A12" s="21">
        <f>IF(B12="","",ROW()-3)</f>
        <v/>
      </c>
      <c r="B12" s="29" t="inlineStr">
        <is>
          <t>1405/06/13</t>
        </is>
      </c>
      <c r="C12" s="29" t="inlineStr">
        <is>
          <t>کوهدشت</t>
        </is>
      </c>
      <c r="D12" s="31" t="n">
        <v>6</v>
      </c>
      <c r="E12" s="31" t="n">
        <v>5</v>
      </c>
      <c r="F12" s="31" t="n">
        <v>1</v>
      </c>
      <c r="G12" s="31" t="n">
        <v>4950000</v>
      </c>
      <c r="H12" s="31" t="n">
        <v>0</v>
      </c>
      <c r="I12" s="31" t="n">
        <v>0</v>
      </c>
      <c r="J12" s="31" t="n">
        <v>98</v>
      </c>
      <c r="K12" s="31" t="n">
        <v>940000</v>
      </c>
      <c r="L12" s="29" t="inlineStr">
        <is>
          <t>عمده‌فروشی نسیه گرفت</t>
        </is>
      </c>
      <c r="M12" s="19">
        <f>IF(OR(D12="",D12=0),"",E12/D12)</f>
        <v/>
      </c>
      <c r="N12" s="19">
        <f>IF(OR(E12="",E12=0),"",F12/E12)</f>
        <v/>
      </c>
      <c r="O12" s="21">
        <f>IF(B12="","",VALUE(LEFT(B12,4)))</f>
        <v/>
      </c>
      <c r="P12" s="21">
        <f>IF(B12="","",VALUE(MID(B12,6,2)))</f>
        <v/>
      </c>
    </row>
    <row r="13" ht="20" customHeight="1">
      <c r="A13" s="21">
        <f>IF(B13="","",ROW()-3)</f>
        <v/>
      </c>
      <c r="B13" s="29" t="inlineStr">
        <is>
          <t>1405/06/14</t>
        </is>
      </c>
      <c r="C13" s="29" t="inlineStr">
        <is>
          <t>پلدختر شهر</t>
        </is>
      </c>
      <c r="D13" s="31" t="n">
        <v>5</v>
      </c>
      <c r="E13" s="31" t="n">
        <v>5</v>
      </c>
      <c r="F13" s="31" t="n">
        <v>1</v>
      </c>
      <c r="G13" s="31" t="n">
        <v>2115000</v>
      </c>
      <c r="H13" s="31" t="n">
        <v>0</v>
      </c>
      <c r="I13" s="31" t="n">
        <v>2115000</v>
      </c>
      <c r="J13" s="31" t="n">
        <v>35</v>
      </c>
      <c r="K13" s="31" t="n">
        <v>350000</v>
      </c>
      <c r="L13" s="29" t="inlineStr"/>
      <c r="M13" s="19">
        <f>IF(OR(D13="",D13=0),"",E13/D13)</f>
        <v/>
      </c>
      <c r="N13" s="19">
        <f>IF(OR(E13="",E13=0),"",F13/E13)</f>
        <v/>
      </c>
      <c r="O13" s="21">
        <f>IF(B13="","",VALUE(LEFT(B13,4)))</f>
        <v/>
      </c>
      <c r="P13" s="21">
        <f>IF(B13="","",VALUE(MID(B13,6,2)))</f>
        <v/>
      </c>
    </row>
    <row r="14" ht="20" customHeight="1">
      <c r="A14" s="21">
        <f>IF(B14="","",ROW()-3)</f>
        <v/>
      </c>
      <c r="B14" s="29" t="inlineStr">
        <is>
          <t>1405/06/15</t>
        </is>
      </c>
      <c r="C14" s="29" t="inlineStr">
        <is>
          <t>خرم‌آباد</t>
        </is>
      </c>
      <c r="D14" s="31" t="n">
        <v>6</v>
      </c>
      <c r="E14" s="31" t="n">
        <v>5</v>
      </c>
      <c r="F14" s="31" t="n">
        <v>1</v>
      </c>
      <c r="G14" s="31" t="n">
        <v>3260000</v>
      </c>
      <c r="H14" s="31" t="n">
        <v>0</v>
      </c>
      <c r="I14" s="31" t="n">
        <v>2000000</v>
      </c>
      <c r="J14" s="31" t="n">
        <v>122</v>
      </c>
      <c r="K14" s="31" t="n">
        <v>1180000</v>
      </c>
      <c r="L14" s="29" t="inlineStr"/>
      <c r="M14" s="19">
        <f>IF(OR(D14="",D14=0),"",E14/D14)</f>
        <v/>
      </c>
      <c r="N14" s="19">
        <f>IF(OR(E14="",E14=0),"",F14/E14)</f>
        <v/>
      </c>
      <c r="O14" s="21">
        <f>IF(B14="","",VALUE(LEFT(B14,4)))</f>
        <v/>
      </c>
      <c r="P14" s="21">
        <f>IF(B14="","",VALUE(MID(B14,6,2)))</f>
        <v/>
      </c>
    </row>
    <row r="15" ht="20" customHeight="1">
      <c r="A15" s="21">
        <f>IF(B15="","",ROW()-3)</f>
        <v/>
      </c>
      <c r="B15" s="29" t="inlineStr">
        <is>
          <t>1405/06/16</t>
        </is>
      </c>
      <c r="C15" s="29" t="inlineStr">
        <is>
          <t>اندیمشک</t>
        </is>
      </c>
      <c r="D15" s="31" t="n">
        <v>4</v>
      </c>
      <c r="E15" s="31" t="n">
        <v>3</v>
      </c>
      <c r="F15" s="31" t="n">
        <v>1</v>
      </c>
      <c r="G15" s="31" t="n">
        <v>4950000</v>
      </c>
      <c r="H15" s="31" t="n">
        <v>1</v>
      </c>
      <c r="I15" s="31" t="n">
        <v>3000000</v>
      </c>
      <c r="J15" s="31" t="n">
        <v>145</v>
      </c>
      <c r="K15" s="31" t="n">
        <v>1400000</v>
      </c>
      <c r="L15" s="29" t="inlineStr">
        <is>
          <t>مسیر جدید</t>
        </is>
      </c>
      <c r="M15" s="19">
        <f>IF(OR(D15="",D15=0),"",E15/D15)</f>
        <v/>
      </c>
      <c r="N15" s="19">
        <f>IF(OR(E15="",E15=0),"",F15/E15)</f>
        <v/>
      </c>
      <c r="O15" s="21">
        <f>IF(B15="","",VALUE(LEFT(B15,4)))</f>
        <v/>
      </c>
      <c r="P15" s="21">
        <f>IF(B15="","",VALUE(MID(B15,6,2)))</f>
        <v/>
      </c>
    </row>
    <row r="16" ht="20" customHeight="1">
      <c r="A16" s="21">
        <f>IF(B16="","",ROW()-3)</f>
        <v/>
      </c>
      <c r="B16" s="29" t="inlineStr">
        <is>
          <t>1405/06/17</t>
        </is>
      </c>
      <c r="C16" s="29" t="inlineStr">
        <is>
          <t>پلدختر شهر</t>
        </is>
      </c>
      <c r="D16" s="31" t="n">
        <v>7</v>
      </c>
      <c r="E16" s="31" t="n">
        <v>6</v>
      </c>
      <c r="F16" s="31" t="n">
        <v>2</v>
      </c>
      <c r="G16" s="31" t="n">
        <v>2305000</v>
      </c>
      <c r="H16" s="31" t="n">
        <v>0</v>
      </c>
      <c r="I16" s="31" t="n">
        <v>2305000</v>
      </c>
      <c r="J16" s="31" t="n">
        <v>44</v>
      </c>
      <c r="K16" s="31" t="n">
        <v>440000</v>
      </c>
      <c r="L16" s="29" t="inlineStr"/>
      <c r="M16" s="19">
        <f>IF(OR(D16="",D16=0),"",E16/D16)</f>
        <v/>
      </c>
      <c r="N16" s="19">
        <f>IF(OR(E16="",E16=0),"",F16/E16)</f>
        <v/>
      </c>
      <c r="O16" s="21">
        <f>IF(B16="","",VALUE(LEFT(B16,4)))</f>
        <v/>
      </c>
      <c r="P16" s="21">
        <f>IF(B16="","",VALUE(MID(B16,6,2)))</f>
        <v/>
      </c>
    </row>
    <row r="17" ht="20" customHeight="1">
      <c r="A17" s="21">
        <f>IF(B17="","",ROW()-3)</f>
        <v/>
      </c>
      <c r="B17" s="29" t="inlineStr">
        <is>
          <t>1405/06/18</t>
        </is>
      </c>
      <c r="C17" s="29" t="inlineStr">
        <is>
          <t>معمولان</t>
        </is>
      </c>
      <c r="D17" s="31" t="n">
        <v>5</v>
      </c>
      <c r="E17" s="31" t="n">
        <v>4</v>
      </c>
      <c r="F17" s="31" t="n">
        <v>1</v>
      </c>
      <c r="G17" s="31" t="n">
        <v>1674000</v>
      </c>
      <c r="H17" s="31" t="n">
        <v>0</v>
      </c>
      <c r="I17" s="31" t="n">
        <v>800000</v>
      </c>
      <c r="J17" s="31" t="n">
        <v>58</v>
      </c>
      <c r="K17" s="31" t="n">
        <v>550000</v>
      </c>
      <c r="L17" s="29" t="inlineStr"/>
      <c r="M17" s="19">
        <f>IF(OR(D17="",D17=0),"",E17/D17)</f>
        <v/>
      </c>
      <c r="N17" s="19">
        <f>IF(OR(E17="",E17=0),"",F17/E17)</f>
        <v/>
      </c>
      <c r="O17" s="21">
        <f>IF(B17="","",VALUE(LEFT(B17,4)))</f>
        <v/>
      </c>
      <c r="P17" s="21">
        <f>IF(B17="","",VALUE(MID(B17,6,2)))</f>
        <v/>
      </c>
    </row>
    <row r="18" ht="20" customHeight="1">
      <c r="A18" s="21">
        <f>IF(B18="","",ROW()-3)</f>
        <v/>
      </c>
      <c r="B18" s="29" t="n"/>
      <c r="C18" s="29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29" t="n"/>
      <c r="M18" s="19">
        <f>IF(OR(D18="",D18=0),"",E18/D18)</f>
        <v/>
      </c>
      <c r="N18" s="19">
        <f>IF(OR(E18="",E18=0),"",F18/E18)</f>
        <v/>
      </c>
      <c r="O18" s="21">
        <f>IF(B18="","",VALUE(LEFT(B18,4)))</f>
        <v/>
      </c>
      <c r="P18" s="21">
        <f>IF(B18="","",VALUE(MID(B18,6,2)))</f>
        <v/>
      </c>
    </row>
    <row r="19" ht="20" customHeight="1">
      <c r="A19" s="21">
        <f>IF(B19="","",ROW()-3)</f>
        <v/>
      </c>
      <c r="B19" s="29" t="n"/>
      <c r="C19" s="29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29" t="n"/>
      <c r="M19" s="19">
        <f>IF(OR(D19="",D19=0),"",E19/D19)</f>
        <v/>
      </c>
      <c r="N19" s="19">
        <f>IF(OR(E19="",E19=0),"",F19/E19)</f>
        <v/>
      </c>
      <c r="O19" s="21">
        <f>IF(B19="","",VALUE(LEFT(B19,4)))</f>
        <v/>
      </c>
      <c r="P19" s="21">
        <f>IF(B19="","",VALUE(MID(B19,6,2)))</f>
        <v/>
      </c>
    </row>
    <row r="20" ht="20" customHeight="1">
      <c r="A20" s="21">
        <f>IF(B20="","",ROW()-3)</f>
        <v/>
      </c>
      <c r="B20" s="29" t="n"/>
      <c r="C20" s="29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29" t="n"/>
      <c r="M20" s="19">
        <f>IF(OR(D20="",D20=0),"",E20/D20)</f>
        <v/>
      </c>
      <c r="N20" s="19">
        <f>IF(OR(E20="",E20=0),"",F20/E20)</f>
        <v/>
      </c>
      <c r="O20" s="21">
        <f>IF(B20="","",VALUE(LEFT(B20,4)))</f>
        <v/>
      </c>
      <c r="P20" s="21">
        <f>IF(B20="","",VALUE(MID(B20,6,2)))</f>
        <v/>
      </c>
    </row>
    <row r="21" ht="20" customHeight="1">
      <c r="A21" s="21">
        <f>IF(B21="","",ROW()-3)</f>
        <v/>
      </c>
      <c r="B21" s="29" t="n"/>
      <c r="C21" s="29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29" t="n"/>
      <c r="M21" s="19">
        <f>IF(OR(D21="",D21=0),"",E21/D21)</f>
        <v/>
      </c>
      <c r="N21" s="19">
        <f>IF(OR(E21="",E21=0),"",F21/E21)</f>
        <v/>
      </c>
      <c r="O21" s="21">
        <f>IF(B21="","",VALUE(LEFT(B21,4)))</f>
        <v/>
      </c>
      <c r="P21" s="21">
        <f>IF(B21="","",VALUE(MID(B21,6,2)))</f>
        <v/>
      </c>
    </row>
    <row r="22" ht="20" customHeight="1">
      <c r="A22" s="21">
        <f>IF(B22="","",ROW()-3)</f>
        <v/>
      </c>
      <c r="B22" s="29" t="n"/>
      <c r="C22" s="29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29" t="n"/>
      <c r="M22" s="19">
        <f>IF(OR(D22="",D22=0),"",E22/D22)</f>
        <v/>
      </c>
      <c r="N22" s="19">
        <f>IF(OR(E22="",E22=0),"",F22/E22)</f>
        <v/>
      </c>
      <c r="O22" s="21">
        <f>IF(B22="","",VALUE(LEFT(B22,4)))</f>
        <v/>
      </c>
      <c r="P22" s="21">
        <f>IF(B22="","",VALUE(MID(B22,6,2)))</f>
        <v/>
      </c>
    </row>
    <row r="23" ht="20" customHeight="1">
      <c r="A23" s="21">
        <f>IF(B23="","",ROW()-3)</f>
        <v/>
      </c>
      <c r="B23" s="29" t="n"/>
      <c r="C23" s="29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29" t="n"/>
      <c r="M23" s="19">
        <f>IF(OR(D23="",D23=0),"",E23/D23)</f>
        <v/>
      </c>
      <c r="N23" s="19">
        <f>IF(OR(E23="",E23=0),"",F23/E23)</f>
        <v/>
      </c>
      <c r="O23" s="21">
        <f>IF(B23="","",VALUE(LEFT(B23,4)))</f>
        <v/>
      </c>
      <c r="P23" s="21">
        <f>IF(B23="","",VALUE(MID(B23,6,2)))</f>
        <v/>
      </c>
    </row>
    <row r="24" ht="20" customHeight="1">
      <c r="A24" s="21">
        <f>IF(B24="","",ROW()-3)</f>
        <v/>
      </c>
      <c r="B24" s="29" t="n"/>
      <c r="C24" s="29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29" t="n"/>
      <c r="M24" s="19">
        <f>IF(OR(D24="",D24=0),"",E24/D24)</f>
        <v/>
      </c>
      <c r="N24" s="19">
        <f>IF(OR(E24="",E24=0),"",F24/E24)</f>
        <v/>
      </c>
      <c r="O24" s="21">
        <f>IF(B24="","",VALUE(LEFT(B24,4)))</f>
        <v/>
      </c>
      <c r="P24" s="21">
        <f>IF(B24="","",VALUE(MID(B24,6,2)))</f>
        <v/>
      </c>
    </row>
    <row r="25" ht="20" customHeight="1">
      <c r="A25" s="21">
        <f>IF(B25="","",ROW()-3)</f>
        <v/>
      </c>
      <c r="B25" s="29" t="n"/>
      <c r="C25" s="29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29" t="n"/>
      <c r="M25" s="19">
        <f>IF(OR(D25="",D25=0),"",E25/D25)</f>
        <v/>
      </c>
      <c r="N25" s="19">
        <f>IF(OR(E25="",E25=0),"",F25/E25)</f>
        <v/>
      </c>
      <c r="O25" s="21">
        <f>IF(B25="","",VALUE(LEFT(B25,4)))</f>
        <v/>
      </c>
      <c r="P25" s="21">
        <f>IF(B25="","",VALUE(MID(B25,6,2)))</f>
        <v/>
      </c>
    </row>
    <row r="26" ht="20" customHeight="1">
      <c r="A26" s="21">
        <f>IF(B26="","",ROW()-3)</f>
        <v/>
      </c>
      <c r="B26" s="29" t="n"/>
      <c r="C26" s="29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29" t="n"/>
      <c r="M26" s="19">
        <f>IF(OR(D26="",D26=0),"",E26/D26)</f>
        <v/>
      </c>
      <c r="N26" s="19">
        <f>IF(OR(E26="",E26=0),"",F26/E26)</f>
        <v/>
      </c>
      <c r="O26" s="21">
        <f>IF(B26="","",VALUE(LEFT(B26,4)))</f>
        <v/>
      </c>
      <c r="P26" s="21">
        <f>IF(B26="","",VALUE(MID(B26,6,2)))</f>
        <v/>
      </c>
    </row>
    <row r="27" ht="20" customHeight="1">
      <c r="A27" s="21">
        <f>IF(B27="","",ROW()-3)</f>
        <v/>
      </c>
      <c r="B27" s="29" t="n"/>
      <c r="C27" s="29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29" t="n"/>
      <c r="M27" s="19">
        <f>IF(OR(D27="",D27=0),"",E27/D27)</f>
        <v/>
      </c>
      <c r="N27" s="19">
        <f>IF(OR(E27="",E27=0),"",F27/E27)</f>
        <v/>
      </c>
      <c r="O27" s="21">
        <f>IF(B27="","",VALUE(LEFT(B27,4)))</f>
        <v/>
      </c>
      <c r="P27" s="21">
        <f>IF(B27="","",VALUE(MID(B27,6,2)))</f>
        <v/>
      </c>
    </row>
    <row r="28" ht="20" customHeight="1">
      <c r="A28" s="21">
        <f>IF(B28="","",ROW()-3)</f>
        <v/>
      </c>
      <c r="B28" s="29" t="n"/>
      <c r="C28" s="29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29" t="n"/>
      <c r="M28" s="19">
        <f>IF(OR(D28="",D28=0),"",E28/D28)</f>
        <v/>
      </c>
      <c r="N28" s="19">
        <f>IF(OR(E28="",E28=0),"",F28/E28)</f>
        <v/>
      </c>
      <c r="O28" s="21">
        <f>IF(B28="","",VALUE(LEFT(B28,4)))</f>
        <v/>
      </c>
      <c r="P28" s="21">
        <f>IF(B28="","",VALUE(MID(B28,6,2)))</f>
        <v/>
      </c>
    </row>
    <row r="29" ht="20" customHeight="1">
      <c r="A29" s="21">
        <f>IF(B29="","",ROW()-3)</f>
        <v/>
      </c>
      <c r="B29" s="29" t="n"/>
      <c r="C29" s="29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29" t="n"/>
      <c r="M29" s="19">
        <f>IF(OR(D29="",D29=0),"",E29/D29)</f>
        <v/>
      </c>
      <c r="N29" s="19">
        <f>IF(OR(E29="",E29=0),"",F29/E29)</f>
        <v/>
      </c>
      <c r="O29" s="21">
        <f>IF(B29="","",VALUE(LEFT(B29,4)))</f>
        <v/>
      </c>
      <c r="P29" s="21">
        <f>IF(B29="","",VALUE(MID(B29,6,2)))</f>
        <v/>
      </c>
    </row>
    <row r="30" ht="20" customHeight="1">
      <c r="A30" s="21">
        <f>IF(B30="","",ROW()-3)</f>
        <v/>
      </c>
      <c r="B30" s="29" t="n"/>
      <c r="C30" s="29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29" t="n"/>
      <c r="M30" s="19">
        <f>IF(OR(D30="",D30=0),"",E30/D30)</f>
        <v/>
      </c>
      <c r="N30" s="19">
        <f>IF(OR(E30="",E30=0),"",F30/E30)</f>
        <v/>
      </c>
      <c r="O30" s="21">
        <f>IF(B30="","",VALUE(LEFT(B30,4)))</f>
        <v/>
      </c>
      <c r="P30" s="21">
        <f>IF(B30="","",VALUE(MID(B30,6,2)))</f>
        <v/>
      </c>
    </row>
    <row r="31" ht="20" customHeight="1">
      <c r="A31" s="21">
        <f>IF(B31="","",ROW()-3)</f>
        <v/>
      </c>
      <c r="B31" s="29" t="n"/>
      <c r="C31" s="29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29" t="n"/>
      <c r="M31" s="19">
        <f>IF(OR(D31="",D31=0),"",E31/D31)</f>
        <v/>
      </c>
      <c r="N31" s="19">
        <f>IF(OR(E31="",E31=0),"",F31/E31)</f>
        <v/>
      </c>
      <c r="O31" s="21">
        <f>IF(B31="","",VALUE(LEFT(B31,4)))</f>
        <v/>
      </c>
      <c r="P31" s="21">
        <f>IF(B31="","",VALUE(MID(B31,6,2)))</f>
        <v/>
      </c>
    </row>
    <row r="32" ht="20" customHeight="1">
      <c r="A32" s="21">
        <f>IF(B32="","",ROW()-3)</f>
        <v/>
      </c>
      <c r="B32" s="29" t="n"/>
      <c r="C32" s="29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29" t="n"/>
      <c r="M32" s="19">
        <f>IF(OR(D32="",D32=0),"",E32/D32)</f>
        <v/>
      </c>
      <c r="N32" s="19">
        <f>IF(OR(E32="",E32=0),"",F32/E32)</f>
        <v/>
      </c>
      <c r="O32" s="21">
        <f>IF(B32="","",VALUE(LEFT(B32,4)))</f>
        <v/>
      </c>
      <c r="P32" s="21">
        <f>IF(B32="","",VALUE(MID(B32,6,2)))</f>
        <v/>
      </c>
    </row>
    <row r="33" ht="20" customHeight="1">
      <c r="A33" s="21">
        <f>IF(B33="","",ROW()-3)</f>
        <v/>
      </c>
      <c r="B33" s="29" t="n"/>
      <c r="C33" s="29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29" t="n"/>
      <c r="M33" s="19">
        <f>IF(OR(D33="",D33=0),"",E33/D33)</f>
        <v/>
      </c>
      <c r="N33" s="19">
        <f>IF(OR(E33="",E33=0),"",F33/E33)</f>
        <v/>
      </c>
      <c r="O33" s="21">
        <f>IF(B33="","",VALUE(LEFT(B33,4)))</f>
        <v/>
      </c>
      <c r="P33" s="21">
        <f>IF(B33="","",VALUE(MID(B33,6,2)))</f>
        <v/>
      </c>
    </row>
    <row r="34" ht="20" customHeight="1">
      <c r="A34" s="21">
        <f>IF(B34="","",ROW()-3)</f>
        <v/>
      </c>
      <c r="B34" s="29" t="n"/>
      <c r="C34" s="29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29" t="n"/>
      <c r="M34" s="19">
        <f>IF(OR(D34="",D34=0),"",E34/D34)</f>
        <v/>
      </c>
      <c r="N34" s="19">
        <f>IF(OR(E34="",E34=0),"",F34/E34)</f>
        <v/>
      </c>
      <c r="O34" s="21">
        <f>IF(B34="","",VALUE(LEFT(B34,4)))</f>
        <v/>
      </c>
      <c r="P34" s="21">
        <f>IF(B34="","",VALUE(MID(B34,6,2)))</f>
        <v/>
      </c>
    </row>
    <row r="35" ht="20" customHeight="1">
      <c r="A35" s="21">
        <f>IF(B35="","",ROW()-3)</f>
        <v/>
      </c>
      <c r="B35" s="29" t="n"/>
      <c r="C35" s="29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29" t="n"/>
      <c r="M35" s="19">
        <f>IF(OR(D35="",D35=0),"",E35/D35)</f>
        <v/>
      </c>
      <c r="N35" s="19">
        <f>IF(OR(E35="",E35=0),"",F35/E35)</f>
        <v/>
      </c>
      <c r="O35" s="21">
        <f>IF(B35="","",VALUE(LEFT(B35,4)))</f>
        <v/>
      </c>
      <c r="P35" s="21">
        <f>IF(B35="","",VALUE(MID(B35,6,2)))</f>
        <v/>
      </c>
    </row>
    <row r="36" ht="20" customHeight="1">
      <c r="A36" s="21">
        <f>IF(B36="","",ROW()-3)</f>
        <v/>
      </c>
      <c r="B36" s="29" t="n"/>
      <c r="C36" s="29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29" t="n"/>
      <c r="M36" s="19">
        <f>IF(OR(D36="",D36=0),"",E36/D36)</f>
        <v/>
      </c>
      <c r="N36" s="19">
        <f>IF(OR(E36="",E36=0),"",F36/E36)</f>
        <v/>
      </c>
      <c r="O36" s="21">
        <f>IF(B36="","",VALUE(LEFT(B36,4)))</f>
        <v/>
      </c>
      <c r="P36" s="21">
        <f>IF(B36="","",VALUE(MID(B36,6,2)))</f>
        <v/>
      </c>
    </row>
    <row r="37" ht="20" customHeight="1">
      <c r="A37" s="21">
        <f>IF(B37="","",ROW()-3)</f>
        <v/>
      </c>
      <c r="B37" s="29" t="n"/>
      <c r="C37" s="29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29" t="n"/>
      <c r="M37" s="19">
        <f>IF(OR(D37="",D37=0),"",E37/D37)</f>
        <v/>
      </c>
      <c r="N37" s="19">
        <f>IF(OR(E37="",E37=0),"",F37/E37)</f>
        <v/>
      </c>
      <c r="O37" s="21">
        <f>IF(B37="","",VALUE(LEFT(B37,4)))</f>
        <v/>
      </c>
      <c r="P37" s="21">
        <f>IF(B37="","",VALUE(MID(B37,6,2)))</f>
        <v/>
      </c>
    </row>
    <row r="38" ht="20" customHeight="1">
      <c r="A38" s="21">
        <f>IF(B38="","",ROW()-3)</f>
        <v/>
      </c>
      <c r="B38" s="29" t="n"/>
      <c r="C38" s="29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29" t="n"/>
      <c r="M38" s="19">
        <f>IF(OR(D38="",D38=0),"",E38/D38)</f>
        <v/>
      </c>
      <c r="N38" s="19">
        <f>IF(OR(E38="",E38=0),"",F38/E38)</f>
        <v/>
      </c>
      <c r="O38" s="21">
        <f>IF(B38="","",VALUE(LEFT(B38,4)))</f>
        <v/>
      </c>
      <c r="P38" s="21">
        <f>IF(B38="","",VALUE(MID(B38,6,2)))</f>
        <v/>
      </c>
    </row>
    <row r="39" ht="20" customHeight="1">
      <c r="A39" s="21">
        <f>IF(B39="","",ROW()-3)</f>
        <v/>
      </c>
      <c r="B39" s="29" t="n"/>
      <c r="C39" s="29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29" t="n"/>
      <c r="M39" s="19">
        <f>IF(OR(D39="",D39=0),"",E39/D39)</f>
        <v/>
      </c>
      <c r="N39" s="19">
        <f>IF(OR(E39="",E39=0),"",F39/E39)</f>
        <v/>
      </c>
      <c r="O39" s="21">
        <f>IF(B39="","",VALUE(LEFT(B39,4)))</f>
        <v/>
      </c>
      <c r="P39" s="21">
        <f>IF(B39="","",VALUE(MID(B39,6,2)))</f>
        <v/>
      </c>
    </row>
    <row r="40" ht="20" customHeight="1">
      <c r="A40" s="21">
        <f>IF(B40="","",ROW()-3)</f>
        <v/>
      </c>
      <c r="B40" s="29" t="n"/>
      <c r="C40" s="29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29" t="n"/>
      <c r="M40" s="19">
        <f>IF(OR(D40="",D40=0),"",E40/D40)</f>
        <v/>
      </c>
      <c r="N40" s="19">
        <f>IF(OR(E40="",E40=0),"",F40/E40)</f>
        <v/>
      </c>
      <c r="O40" s="21">
        <f>IF(B40="","",VALUE(LEFT(B40,4)))</f>
        <v/>
      </c>
      <c r="P40" s="21">
        <f>IF(B40="","",VALUE(MID(B40,6,2)))</f>
        <v/>
      </c>
    </row>
    <row r="41" ht="20" customHeight="1">
      <c r="A41" s="21">
        <f>IF(B41="","",ROW()-3)</f>
        <v/>
      </c>
      <c r="B41" s="29" t="n"/>
      <c r="C41" s="29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29" t="n"/>
      <c r="M41" s="19">
        <f>IF(OR(D41="",D41=0),"",E41/D41)</f>
        <v/>
      </c>
      <c r="N41" s="19">
        <f>IF(OR(E41="",E41=0),"",F41/E41)</f>
        <v/>
      </c>
      <c r="O41" s="21">
        <f>IF(B41="","",VALUE(LEFT(B41,4)))</f>
        <v/>
      </c>
      <c r="P41" s="21">
        <f>IF(B41="","",VALUE(MID(B41,6,2)))</f>
        <v/>
      </c>
    </row>
    <row r="42" ht="20" customHeight="1">
      <c r="A42" s="21">
        <f>IF(B42="","",ROW()-3)</f>
        <v/>
      </c>
      <c r="B42" s="29" t="n"/>
      <c r="C42" s="29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29" t="n"/>
      <c r="M42" s="19">
        <f>IF(OR(D42="",D42=0),"",E42/D42)</f>
        <v/>
      </c>
      <c r="N42" s="19">
        <f>IF(OR(E42="",E42=0),"",F42/E42)</f>
        <v/>
      </c>
      <c r="O42" s="21">
        <f>IF(B42="","",VALUE(LEFT(B42,4)))</f>
        <v/>
      </c>
      <c r="P42" s="21">
        <f>IF(B42="","",VALUE(MID(B42,6,2)))</f>
        <v/>
      </c>
    </row>
    <row r="43" ht="20" customHeight="1">
      <c r="A43" s="21">
        <f>IF(B43="","",ROW()-3)</f>
        <v/>
      </c>
      <c r="B43" s="29" t="n"/>
      <c r="C43" s="29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29" t="n"/>
      <c r="M43" s="19">
        <f>IF(OR(D43="",D43=0),"",E43/D43)</f>
        <v/>
      </c>
      <c r="N43" s="19">
        <f>IF(OR(E43="",E43=0),"",F43/E43)</f>
        <v/>
      </c>
      <c r="O43" s="21">
        <f>IF(B43="","",VALUE(LEFT(B43,4)))</f>
        <v/>
      </c>
      <c r="P43" s="21">
        <f>IF(B43="","",VALUE(MID(B43,6,2)))</f>
        <v/>
      </c>
    </row>
    <row r="44" ht="20" customHeight="1">
      <c r="A44" s="21">
        <f>IF(B44="","",ROW()-3)</f>
        <v/>
      </c>
      <c r="B44" s="29" t="n"/>
      <c r="C44" s="29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29" t="n"/>
      <c r="M44" s="19">
        <f>IF(OR(D44="",D44=0),"",E44/D44)</f>
        <v/>
      </c>
      <c r="N44" s="19">
        <f>IF(OR(E44="",E44=0),"",F44/E44)</f>
        <v/>
      </c>
      <c r="O44" s="21">
        <f>IF(B44="","",VALUE(LEFT(B44,4)))</f>
        <v/>
      </c>
      <c r="P44" s="21">
        <f>IF(B44="","",VALUE(MID(B44,6,2)))</f>
        <v/>
      </c>
    </row>
    <row r="45" ht="20" customHeight="1">
      <c r="A45" s="21">
        <f>IF(B45="","",ROW()-3)</f>
        <v/>
      </c>
      <c r="B45" s="29" t="n"/>
      <c r="C45" s="29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29" t="n"/>
      <c r="M45" s="19">
        <f>IF(OR(D45="",D45=0),"",E45/D45)</f>
        <v/>
      </c>
      <c r="N45" s="19">
        <f>IF(OR(E45="",E45=0),"",F45/E45)</f>
        <v/>
      </c>
      <c r="O45" s="21">
        <f>IF(B45="","",VALUE(LEFT(B45,4)))</f>
        <v/>
      </c>
      <c r="P45" s="21">
        <f>IF(B45="","",VALUE(MID(B45,6,2)))</f>
        <v/>
      </c>
    </row>
    <row r="46" ht="20" customHeight="1">
      <c r="A46" s="21">
        <f>IF(B46="","",ROW()-3)</f>
        <v/>
      </c>
      <c r="B46" s="29" t="n"/>
      <c r="C46" s="29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29" t="n"/>
      <c r="M46" s="19">
        <f>IF(OR(D46="",D46=0),"",E46/D46)</f>
        <v/>
      </c>
      <c r="N46" s="19">
        <f>IF(OR(E46="",E46=0),"",F46/E46)</f>
        <v/>
      </c>
      <c r="O46" s="21">
        <f>IF(B46="","",VALUE(LEFT(B46,4)))</f>
        <v/>
      </c>
      <c r="P46" s="21">
        <f>IF(B46="","",VALUE(MID(B46,6,2)))</f>
        <v/>
      </c>
    </row>
    <row r="47" ht="20" customHeight="1">
      <c r="A47" s="21">
        <f>IF(B47="","",ROW()-3)</f>
        <v/>
      </c>
      <c r="B47" s="29" t="n"/>
      <c r="C47" s="29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29" t="n"/>
      <c r="M47" s="19">
        <f>IF(OR(D47="",D47=0),"",E47/D47)</f>
        <v/>
      </c>
      <c r="N47" s="19">
        <f>IF(OR(E47="",E47=0),"",F47/E47)</f>
        <v/>
      </c>
      <c r="O47" s="21">
        <f>IF(B47="","",VALUE(LEFT(B47,4)))</f>
        <v/>
      </c>
      <c r="P47" s="21">
        <f>IF(B47="","",VALUE(MID(B47,6,2)))</f>
        <v/>
      </c>
    </row>
    <row r="48" ht="20" customHeight="1">
      <c r="A48" s="21">
        <f>IF(B48="","",ROW()-3)</f>
        <v/>
      </c>
      <c r="B48" s="29" t="n"/>
      <c r="C48" s="29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29" t="n"/>
      <c r="M48" s="19">
        <f>IF(OR(D48="",D48=0),"",E48/D48)</f>
        <v/>
      </c>
      <c r="N48" s="19">
        <f>IF(OR(E48="",E48=0),"",F48/E48)</f>
        <v/>
      </c>
      <c r="O48" s="21">
        <f>IF(B48="","",VALUE(LEFT(B48,4)))</f>
        <v/>
      </c>
      <c r="P48" s="21">
        <f>IF(B48="","",VALUE(MID(B48,6,2)))</f>
        <v/>
      </c>
    </row>
    <row r="49" ht="20" customHeight="1">
      <c r="A49" s="21">
        <f>IF(B49="","",ROW()-3)</f>
        <v/>
      </c>
      <c r="B49" s="29" t="n"/>
      <c r="C49" s="29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29" t="n"/>
      <c r="M49" s="19">
        <f>IF(OR(D49="",D49=0),"",E49/D49)</f>
        <v/>
      </c>
      <c r="N49" s="19">
        <f>IF(OR(E49="",E49=0),"",F49/E49)</f>
        <v/>
      </c>
      <c r="O49" s="21">
        <f>IF(B49="","",VALUE(LEFT(B49,4)))</f>
        <v/>
      </c>
      <c r="P49" s="21">
        <f>IF(B49="","",VALUE(MID(B49,6,2)))</f>
        <v/>
      </c>
    </row>
    <row r="50" ht="20" customHeight="1">
      <c r="A50" s="21">
        <f>IF(B50="","",ROW()-3)</f>
        <v/>
      </c>
      <c r="B50" s="29" t="n"/>
      <c r="C50" s="29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29" t="n"/>
      <c r="M50" s="19">
        <f>IF(OR(D50="",D50=0),"",E50/D50)</f>
        <v/>
      </c>
      <c r="N50" s="19">
        <f>IF(OR(E50="",E50=0),"",F50/E50)</f>
        <v/>
      </c>
      <c r="O50" s="21">
        <f>IF(B50="","",VALUE(LEFT(B50,4)))</f>
        <v/>
      </c>
      <c r="P50" s="21">
        <f>IF(B50="","",VALUE(MID(B50,6,2)))</f>
        <v/>
      </c>
    </row>
    <row r="51" ht="20" customHeight="1">
      <c r="A51" s="21">
        <f>IF(B51="","",ROW()-3)</f>
        <v/>
      </c>
      <c r="B51" s="29" t="n"/>
      <c r="C51" s="29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29" t="n"/>
      <c r="M51" s="19">
        <f>IF(OR(D51="",D51=0),"",E51/D51)</f>
        <v/>
      </c>
      <c r="N51" s="19">
        <f>IF(OR(E51="",E51=0),"",F51/E51)</f>
        <v/>
      </c>
      <c r="O51" s="21">
        <f>IF(B51="","",VALUE(LEFT(B51,4)))</f>
        <v/>
      </c>
      <c r="P51" s="21">
        <f>IF(B51="","",VALUE(MID(B51,6,2)))</f>
        <v/>
      </c>
    </row>
    <row r="52" ht="20" customHeight="1">
      <c r="A52" s="21">
        <f>IF(B52="","",ROW()-3)</f>
        <v/>
      </c>
      <c r="B52" s="29" t="n"/>
      <c r="C52" s="29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29" t="n"/>
      <c r="M52" s="19">
        <f>IF(OR(D52="",D52=0),"",E52/D52)</f>
        <v/>
      </c>
      <c r="N52" s="19">
        <f>IF(OR(E52="",E52=0),"",F52/E52)</f>
        <v/>
      </c>
      <c r="O52" s="21">
        <f>IF(B52="","",VALUE(LEFT(B52,4)))</f>
        <v/>
      </c>
      <c r="P52" s="21">
        <f>IF(B52="","",VALUE(MID(B52,6,2)))</f>
        <v/>
      </c>
    </row>
    <row r="53" ht="20" customHeight="1">
      <c r="A53" s="21">
        <f>IF(B53="","",ROW()-3)</f>
        <v/>
      </c>
      <c r="B53" s="29" t="n"/>
      <c r="C53" s="29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29" t="n"/>
      <c r="M53" s="19">
        <f>IF(OR(D53="",D53=0),"",E53/D53)</f>
        <v/>
      </c>
      <c r="N53" s="19">
        <f>IF(OR(E53="",E53=0),"",F53/E53)</f>
        <v/>
      </c>
      <c r="O53" s="21">
        <f>IF(B53="","",VALUE(LEFT(B53,4)))</f>
        <v/>
      </c>
      <c r="P53" s="21">
        <f>IF(B53="","",VALUE(MID(B53,6,2)))</f>
        <v/>
      </c>
    </row>
    <row r="54" ht="20" customHeight="1">
      <c r="A54" s="21">
        <f>IF(B54="","",ROW()-3)</f>
        <v/>
      </c>
      <c r="B54" s="29" t="n"/>
      <c r="C54" s="29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29" t="n"/>
      <c r="M54" s="19">
        <f>IF(OR(D54="",D54=0),"",E54/D54)</f>
        <v/>
      </c>
      <c r="N54" s="19">
        <f>IF(OR(E54="",E54=0),"",F54/E54)</f>
        <v/>
      </c>
      <c r="O54" s="21">
        <f>IF(B54="","",VALUE(LEFT(B54,4)))</f>
        <v/>
      </c>
      <c r="P54" s="21">
        <f>IF(B54="","",VALUE(MID(B54,6,2)))</f>
        <v/>
      </c>
    </row>
    <row r="55" ht="20" customHeight="1">
      <c r="A55" s="21">
        <f>IF(B55="","",ROW()-3)</f>
        <v/>
      </c>
      <c r="B55" s="29" t="n"/>
      <c r="C55" s="29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29" t="n"/>
      <c r="M55" s="19">
        <f>IF(OR(D55="",D55=0),"",E55/D55)</f>
        <v/>
      </c>
      <c r="N55" s="19">
        <f>IF(OR(E55="",E55=0),"",F55/E55)</f>
        <v/>
      </c>
      <c r="O55" s="21">
        <f>IF(B55="","",VALUE(LEFT(B55,4)))</f>
        <v/>
      </c>
      <c r="P55" s="21">
        <f>IF(B55="","",VALUE(MID(B55,6,2)))</f>
        <v/>
      </c>
    </row>
    <row r="56" ht="20" customHeight="1">
      <c r="A56" s="21">
        <f>IF(B56="","",ROW()-3)</f>
        <v/>
      </c>
      <c r="B56" s="29" t="n"/>
      <c r="C56" s="29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29" t="n"/>
      <c r="M56" s="19">
        <f>IF(OR(D56="",D56=0),"",E56/D56)</f>
        <v/>
      </c>
      <c r="N56" s="19">
        <f>IF(OR(E56="",E56=0),"",F56/E56)</f>
        <v/>
      </c>
      <c r="O56" s="21">
        <f>IF(B56="","",VALUE(LEFT(B56,4)))</f>
        <v/>
      </c>
      <c r="P56" s="21">
        <f>IF(B56="","",VALUE(MID(B56,6,2)))</f>
        <v/>
      </c>
    </row>
    <row r="57" ht="20" customHeight="1">
      <c r="A57" s="21">
        <f>IF(B57="","",ROW()-3)</f>
        <v/>
      </c>
      <c r="B57" s="29" t="n"/>
      <c r="C57" s="29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29" t="n"/>
      <c r="M57" s="19">
        <f>IF(OR(D57="",D57=0),"",E57/D57)</f>
        <v/>
      </c>
      <c r="N57" s="19">
        <f>IF(OR(E57="",E57=0),"",F57/E57)</f>
        <v/>
      </c>
      <c r="O57" s="21">
        <f>IF(B57="","",VALUE(LEFT(B57,4)))</f>
        <v/>
      </c>
      <c r="P57" s="21">
        <f>IF(B57="","",VALUE(MID(B57,6,2)))</f>
        <v/>
      </c>
    </row>
    <row r="58" ht="20" customHeight="1">
      <c r="A58" s="21">
        <f>IF(B58="","",ROW()-3)</f>
        <v/>
      </c>
      <c r="B58" s="29" t="n"/>
      <c r="C58" s="29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29" t="n"/>
      <c r="M58" s="19">
        <f>IF(OR(D58="",D58=0),"",E58/D58)</f>
        <v/>
      </c>
      <c r="N58" s="19">
        <f>IF(OR(E58="",E58=0),"",F58/E58)</f>
        <v/>
      </c>
      <c r="O58" s="21">
        <f>IF(B58="","",VALUE(LEFT(B58,4)))</f>
        <v/>
      </c>
      <c r="P58" s="21">
        <f>IF(B58="","",VALUE(MID(B58,6,2)))</f>
        <v/>
      </c>
    </row>
    <row r="59" ht="20" customHeight="1">
      <c r="A59" s="21">
        <f>IF(B59="","",ROW()-3)</f>
        <v/>
      </c>
      <c r="B59" s="29" t="n"/>
      <c r="C59" s="29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29" t="n"/>
      <c r="M59" s="19">
        <f>IF(OR(D59="",D59=0),"",E59/D59)</f>
        <v/>
      </c>
      <c r="N59" s="19">
        <f>IF(OR(E59="",E59=0),"",F59/E59)</f>
        <v/>
      </c>
      <c r="O59" s="21">
        <f>IF(B59="","",VALUE(LEFT(B59,4)))</f>
        <v/>
      </c>
      <c r="P59" s="21">
        <f>IF(B59="","",VALUE(MID(B59,6,2)))</f>
        <v/>
      </c>
    </row>
    <row r="60" ht="20" customHeight="1">
      <c r="A60" s="21">
        <f>IF(B60="","",ROW()-3)</f>
        <v/>
      </c>
      <c r="B60" s="29" t="n"/>
      <c r="C60" s="29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29" t="n"/>
      <c r="M60" s="19">
        <f>IF(OR(D60="",D60=0),"",E60/D60)</f>
        <v/>
      </c>
      <c r="N60" s="19">
        <f>IF(OR(E60="",E60=0),"",F60/E60)</f>
        <v/>
      </c>
      <c r="O60" s="21">
        <f>IF(B60="","",VALUE(LEFT(B60,4)))</f>
        <v/>
      </c>
      <c r="P60" s="21">
        <f>IF(B60="","",VALUE(MID(B60,6,2)))</f>
        <v/>
      </c>
    </row>
    <row r="61" ht="20" customHeight="1">
      <c r="A61" s="21">
        <f>IF(B61="","",ROW()-3)</f>
        <v/>
      </c>
      <c r="B61" s="29" t="n"/>
      <c r="C61" s="29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29" t="n"/>
      <c r="M61" s="19">
        <f>IF(OR(D61="",D61=0),"",E61/D61)</f>
        <v/>
      </c>
      <c r="N61" s="19">
        <f>IF(OR(E61="",E61=0),"",F61/E61)</f>
        <v/>
      </c>
      <c r="O61" s="21">
        <f>IF(B61="","",VALUE(LEFT(B61,4)))</f>
        <v/>
      </c>
      <c r="P61" s="21">
        <f>IF(B61="","",VALUE(MID(B61,6,2)))</f>
        <v/>
      </c>
    </row>
    <row r="62" ht="20" customHeight="1">
      <c r="A62" s="21">
        <f>IF(B62="","",ROW()-3)</f>
        <v/>
      </c>
      <c r="B62" s="29" t="n"/>
      <c r="C62" s="29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29" t="n"/>
      <c r="M62" s="19">
        <f>IF(OR(D62="",D62=0),"",E62/D62)</f>
        <v/>
      </c>
      <c r="N62" s="19">
        <f>IF(OR(E62="",E62=0),"",F62/E62)</f>
        <v/>
      </c>
      <c r="O62" s="21">
        <f>IF(B62="","",VALUE(LEFT(B62,4)))</f>
        <v/>
      </c>
      <c r="P62" s="21">
        <f>IF(B62="","",VALUE(MID(B62,6,2)))</f>
        <v/>
      </c>
    </row>
    <row r="63" ht="20" customHeight="1">
      <c r="A63" s="21">
        <f>IF(B63="","",ROW()-3)</f>
        <v/>
      </c>
      <c r="B63" s="29" t="n"/>
      <c r="C63" s="29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29" t="n"/>
      <c r="M63" s="19">
        <f>IF(OR(D63="",D63=0),"",E63/D63)</f>
        <v/>
      </c>
      <c r="N63" s="19">
        <f>IF(OR(E63="",E63=0),"",F63/E63)</f>
        <v/>
      </c>
      <c r="O63" s="21">
        <f>IF(B63="","",VALUE(LEFT(B63,4)))</f>
        <v/>
      </c>
      <c r="P63" s="21">
        <f>IF(B63="","",VALUE(MID(B63,6,2)))</f>
        <v/>
      </c>
    </row>
    <row r="64" ht="20" customHeight="1">
      <c r="A64" s="21">
        <f>IF(B64="","",ROW()-3)</f>
        <v/>
      </c>
      <c r="B64" s="29" t="n"/>
      <c r="C64" s="29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29" t="n"/>
      <c r="M64" s="19">
        <f>IF(OR(D64="",D64=0),"",E64/D64)</f>
        <v/>
      </c>
      <c r="N64" s="19">
        <f>IF(OR(E64="",E64=0),"",F64/E64)</f>
        <v/>
      </c>
      <c r="O64" s="21">
        <f>IF(B64="","",VALUE(LEFT(B64,4)))</f>
        <v/>
      </c>
      <c r="P64" s="21">
        <f>IF(B64="","",VALUE(MID(B64,6,2)))</f>
        <v/>
      </c>
    </row>
    <row r="65" ht="20" customHeight="1">
      <c r="A65" s="21">
        <f>IF(B65="","",ROW()-3)</f>
        <v/>
      </c>
      <c r="B65" s="29" t="n"/>
      <c r="C65" s="29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29" t="n"/>
      <c r="M65" s="19">
        <f>IF(OR(D65="",D65=0),"",E65/D65)</f>
        <v/>
      </c>
      <c r="N65" s="19">
        <f>IF(OR(E65="",E65=0),"",F65/E65)</f>
        <v/>
      </c>
      <c r="O65" s="21">
        <f>IF(B65="","",VALUE(LEFT(B65,4)))</f>
        <v/>
      </c>
      <c r="P65" s="21">
        <f>IF(B65="","",VALUE(MID(B65,6,2)))</f>
        <v/>
      </c>
    </row>
    <row r="66" ht="20" customHeight="1">
      <c r="A66" s="21">
        <f>IF(B66="","",ROW()-3)</f>
        <v/>
      </c>
      <c r="B66" s="29" t="n"/>
      <c r="C66" s="29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29" t="n"/>
      <c r="M66" s="19">
        <f>IF(OR(D66="",D66=0),"",E66/D66)</f>
        <v/>
      </c>
      <c r="N66" s="19">
        <f>IF(OR(E66="",E66=0),"",F66/E66)</f>
        <v/>
      </c>
      <c r="O66" s="21">
        <f>IF(B66="","",VALUE(LEFT(B66,4)))</f>
        <v/>
      </c>
      <c r="P66" s="21">
        <f>IF(B66="","",VALUE(MID(B66,6,2)))</f>
        <v/>
      </c>
    </row>
    <row r="67" ht="20" customHeight="1">
      <c r="A67" s="21">
        <f>IF(B67="","",ROW()-3)</f>
        <v/>
      </c>
      <c r="B67" s="29" t="n"/>
      <c r="C67" s="29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29" t="n"/>
      <c r="M67" s="19">
        <f>IF(OR(D67="",D67=0),"",E67/D67)</f>
        <v/>
      </c>
      <c r="N67" s="19">
        <f>IF(OR(E67="",E67=0),"",F67/E67)</f>
        <v/>
      </c>
      <c r="O67" s="21">
        <f>IF(B67="","",VALUE(LEFT(B67,4)))</f>
        <v/>
      </c>
      <c r="P67" s="21">
        <f>IF(B67="","",VALUE(MID(B67,6,2)))</f>
        <v/>
      </c>
    </row>
    <row r="68" ht="20" customHeight="1">
      <c r="A68" s="21">
        <f>IF(B68="","",ROW()-3)</f>
        <v/>
      </c>
      <c r="B68" s="29" t="n"/>
      <c r="C68" s="29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29" t="n"/>
      <c r="M68" s="19">
        <f>IF(OR(D68="",D68=0),"",E68/D68)</f>
        <v/>
      </c>
      <c r="N68" s="19">
        <f>IF(OR(E68="",E68=0),"",F68/E68)</f>
        <v/>
      </c>
      <c r="O68" s="21">
        <f>IF(B68="","",VALUE(LEFT(B68,4)))</f>
        <v/>
      </c>
      <c r="P68" s="21">
        <f>IF(B68="","",VALUE(MID(B68,6,2)))</f>
        <v/>
      </c>
    </row>
    <row r="69" ht="20" customHeight="1">
      <c r="A69" s="21">
        <f>IF(B69="","",ROW()-3)</f>
        <v/>
      </c>
      <c r="B69" s="29" t="n"/>
      <c r="C69" s="29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29" t="n"/>
      <c r="M69" s="19">
        <f>IF(OR(D69="",D69=0),"",E69/D69)</f>
        <v/>
      </c>
      <c r="N69" s="19">
        <f>IF(OR(E69="",E69=0),"",F69/E69)</f>
        <v/>
      </c>
      <c r="O69" s="21">
        <f>IF(B69="","",VALUE(LEFT(B69,4)))</f>
        <v/>
      </c>
      <c r="P69" s="21">
        <f>IF(B69="","",VALUE(MID(B69,6,2)))</f>
        <v/>
      </c>
    </row>
    <row r="70" ht="20" customHeight="1">
      <c r="A70" s="21">
        <f>IF(B70="","",ROW()-3)</f>
        <v/>
      </c>
      <c r="B70" s="29" t="n"/>
      <c r="C70" s="29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29" t="n"/>
      <c r="M70" s="19">
        <f>IF(OR(D70="",D70=0),"",E70/D70)</f>
        <v/>
      </c>
      <c r="N70" s="19">
        <f>IF(OR(E70="",E70=0),"",F70/E70)</f>
        <v/>
      </c>
      <c r="O70" s="21">
        <f>IF(B70="","",VALUE(LEFT(B70,4)))</f>
        <v/>
      </c>
      <c r="P70" s="21">
        <f>IF(B70="","",VALUE(MID(B70,6,2)))</f>
        <v/>
      </c>
    </row>
    <row r="71" ht="20" customHeight="1">
      <c r="A71" s="21">
        <f>IF(B71="","",ROW()-3)</f>
        <v/>
      </c>
      <c r="B71" s="29" t="n"/>
      <c r="C71" s="29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29" t="n"/>
      <c r="M71" s="19">
        <f>IF(OR(D71="",D71=0),"",E71/D71)</f>
        <v/>
      </c>
      <c r="N71" s="19">
        <f>IF(OR(E71="",E71=0),"",F71/E71)</f>
        <v/>
      </c>
      <c r="O71" s="21">
        <f>IF(B71="","",VALUE(LEFT(B71,4)))</f>
        <v/>
      </c>
      <c r="P71" s="21">
        <f>IF(B71="","",VALUE(MID(B71,6,2)))</f>
        <v/>
      </c>
    </row>
    <row r="72" ht="20" customHeight="1">
      <c r="A72" s="21">
        <f>IF(B72="","",ROW()-3)</f>
        <v/>
      </c>
      <c r="B72" s="29" t="n"/>
      <c r="C72" s="29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29" t="n"/>
      <c r="M72" s="19">
        <f>IF(OR(D72="",D72=0),"",E72/D72)</f>
        <v/>
      </c>
      <c r="N72" s="19">
        <f>IF(OR(E72="",E72=0),"",F72/E72)</f>
        <v/>
      </c>
      <c r="O72" s="21">
        <f>IF(B72="","",VALUE(LEFT(B72,4)))</f>
        <v/>
      </c>
      <c r="P72" s="21">
        <f>IF(B72="","",VALUE(MID(B72,6,2)))</f>
        <v/>
      </c>
    </row>
    <row r="73" ht="20" customHeight="1">
      <c r="A73" s="21">
        <f>IF(B73="","",ROW()-3)</f>
        <v/>
      </c>
      <c r="B73" s="29" t="n"/>
      <c r="C73" s="29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29" t="n"/>
      <c r="M73" s="19">
        <f>IF(OR(D73="",D73=0),"",E73/D73)</f>
        <v/>
      </c>
      <c r="N73" s="19">
        <f>IF(OR(E73="",E73=0),"",F73/E73)</f>
        <v/>
      </c>
      <c r="O73" s="21">
        <f>IF(B73="","",VALUE(LEFT(B73,4)))</f>
        <v/>
      </c>
      <c r="P73" s="21">
        <f>IF(B73="","",VALUE(MID(B73,6,2)))</f>
        <v/>
      </c>
    </row>
    <row r="74" ht="20" customHeight="1">
      <c r="A74" s="21">
        <f>IF(B74="","",ROW()-3)</f>
        <v/>
      </c>
      <c r="B74" s="29" t="n"/>
      <c r="C74" s="29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29" t="n"/>
      <c r="M74" s="19">
        <f>IF(OR(D74="",D74=0),"",E74/D74)</f>
        <v/>
      </c>
      <c r="N74" s="19">
        <f>IF(OR(E74="",E74=0),"",F74/E74)</f>
        <v/>
      </c>
      <c r="O74" s="21">
        <f>IF(B74="","",VALUE(LEFT(B74,4)))</f>
        <v/>
      </c>
      <c r="P74" s="21">
        <f>IF(B74="","",VALUE(MID(B74,6,2)))</f>
        <v/>
      </c>
    </row>
    <row r="75" ht="20" customHeight="1">
      <c r="A75" s="21">
        <f>IF(B75="","",ROW()-3)</f>
        <v/>
      </c>
      <c r="B75" s="29" t="n"/>
      <c r="C75" s="29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29" t="n"/>
      <c r="M75" s="19">
        <f>IF(OR(D75="",D75=0),"",E75/D75)</f>
        <v/>
      </c>
      <c r="N75" s="19">
        <f>IF(OR(E75="",E75=0),"",F75/E75)</f>
        <v/>
      </c>
      <c r="O75" s="21">
        <f>IF(B75="","",VALUE(LEFT(B75,4)))</f>
        <v/>
      </c>
      <c r="P75" s="21">
        <f>IF(B75="","",VALUE(MID(B75,6,2)))</f>
        <v/>
      </c>
    </row>
    <row r="76" ht="20" customHeight="1">
      <c r="A76" s="21">
        <f>IF(B76="","",ROW()-3)</f>
        <v/>
      </c>
      <c r="B76" s="29" t="n"/>
      <c r="C76" s="29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29" t="n"/>
      <c r="M76" s="19">
        <f>IF(OR(D76="",D76=0),"",E76/D76)</f>
        <v/>
      </c>
      <c r="N76" s="19">
        <f>IF(OR(E76="",E76=0),"",F76/E76)</f>
        <v/>
      </c>
      <c r="O76" s="21">
        <f>IF(B76="","",VALUE(LEFT(B76,4)))</f>
        <v/>
      </c>
      <c r="P76" s="21">
        <f>IF(B76="","",VALUE(MID(B76,6,2)))</f>
        <v/>
      </c>
    </row>
    <row r="77" ht="20" customHeight="1">
      <c r="A77" s="21">
        <f>IF(B77="","",ROW()-3)</f>
        <v/>
      </c>
      <c r="B77" s="29" t="n"/>
      <c r="C77" s="29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29" t="n"/>
      <c r="M77" s="19">
        <f>IF(OR(D77="",D77=0),"",E77/D77)</f>
        <v/>
      </c>
      <c r="N77" s="19">
        <f>IF(OR(E77="",E77=0),"",F77/E77)</f>
        <v/>
      </c>
      <c r="O77" s="21">
        <f>IF(B77="","",VALUE(LEFT(B77,4)))</f>
        <v/>
      </c>
      <c r="P77" s="21">
        <f>IF(B77="","",VALUE(MID(B77,6,2)))</f>
        <v/>
      </c>
    </row>
    <row r="78" ht="20" customHeight="1">
      <c r="A78" s="21">
        <f>IF(B78="","",ROW()-3)</f>
        <v/>
      </c>
      <c r="B78" s="29" t="n"/>
      <c r="C78" s="29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29" t="n"/>
      <c r="M78" s="19">
        <f>IF(OR(D78="",D78=0),"",E78/D78)</f>
        <v/>
      </c>
      <c r="N78" s="19">
        <f>IF(OR(E78="",E78=0),"",F78/E78)</f>
        <v/>
      </c>
      <c r="O78" s="21">
        <f>IF(B78="","",VALUE(LEFT(B78,4)))</f>
        <v/>
      </c>
      <c r="P78" s="21">
        <f>IF(B78="","",VALUE(MID(B78,6,2)))</f>
        <v/>
      </c>
    </row>
    <row r="79" ht="20" customHeight="1">
      <c r="A79" s="21">
        <f>IF(B79="","",ROW()-3)</f>
        <v/>
      </c>
      <c r="B79" s="29" t="n"/>
      <c r="C79" s="29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29" t="n"/>
      <c r="M79" s="19">
        <f>IF(OR(D79="",D79=0),"",E79/D79)</f>
        <v/>
      </c>
      <c r="N79" s="19">
        <f>IF(OR(E79="",E79=0),"",F79/E79)</f>
        <v/>
      </c>
      <c r="O79" s="21">
        <f>IF(B79="","",VALUE(LEFT(B79,4)))</f>
        <v/>
      </c>
      <c r="P79" s="21">
        <f>IF(B79="","",VALUE(MID(B79,6,2)))</f>
        <v/>
      </c>
    </row>
    <row r="80" ht="20" customHeight="1">
      <c r="A80" s="21">
        <f>IF(B80="","",ROW()-3)</f>
        <v/>
      </c>
      <c r="B80" s="29" t="n"/>
      <c r="C80" s="29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29" t="n"/>
      <c r="M80" s="19">
        <f>IF(OR(D80="",D80=0),"",E80/D80)</f>
        <v/>
      </c>
      <c r="N80" s="19">
        <f>IF(OR(E80="",E80=0),"",F80/E80)</f>
        <v/>
      </c>
      <c r="O80" s="21">
        <f>IF(B80="","",VALUE(LEFT(B80,4)))</f>
        <v/>
      </c>
      <c r="P80" s="21">
        <f>IF(B80="","",VALUE(MID(B80,6,2)))</f>
        <v/>
      </c>
    </row>
    <row r="81" ht="20" customHeight="1">
      <c r="A81" s="21">
        <f>IF(B81="","",ROW()-3)</f>
        <v/>
      </c>
      <c r="B81" s="29" t="n"/>
      <c r="C81" s="29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29" t="n"/>
      <c r="M81" s="19">
        <f>IF(OR(D81="",D81=0),"",E81/D81)</f>
        <v/>
      </c>
      <c r="N81" s="19">
        <f>IF(OR(E81="",E81=0),"",F81/E81)</f>
        <v/>
      </c>
      <c r="O81" s="21">
        <f>IF(B81="","",VALUE(LEFT(B81,4)))</f>
        <v/>
      </c>
      <c r="P81" s="21">
        <f>IF(B81="","",VALUE(MID(B81,6,2)))</f>
        <v/>
      </c>
    </row>
    <row r="82" ht="20" customHeight="1">
      <c r="A82" s="21">
        <f>IF(B82="","",ROW()-3)</f>
        <v/>
      </c>
      <c r="B82" s="29" t="n"/>
      <c r="C82" s="29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29" t="n"/>
      <c r="M82" s="19">
        <f>IF(OR(D82="",D82=0),"",E82/D82)</f>
        <v/>
      </c>
      <c r="N82" s="19">
        <f>IF(OR(E82="",E82=0),"",F82/E82)</f>
        <v/>
      </c>
      <c r="O82" s="21">
        <f>IF(B82="","",VALUE(LEFT(B82,4)))</f>
        <v/>
      </c>
      <c r="P82" s="21">
        <f>IF(B82="","",VALUE(MID(B82,6,2)))</f>
        <v/>
      </c>
    </row>
    <row r="83" ht="20" customHeight="1">
      <c r="A83" s="21">
        <f>IF(B83="","",ROW()-3)</f>
        <v/>
      </c>
      <c r="B83" s="29" t="n"/>
      <c r="C83" s="29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29" t="n"/>
      <c r="M83" s="19">
        <f>IF(OR(D83="",D83=0),"",E83/D83)</f>
        <v/>
      </c>
      <c r="N83" s="19">
        <f>IF(OR(E83="",E83=0),"",F83/E83)</f>
        <v/>
      </c>
      <c r="O83" s="21">
        <f>IF(B83="","",VALUE(LEFT(B83,4)))</f>
        <v/>
      </c>
      <c r="P83" s="21">
        <f>IF(B83="","",VALUE(MID(B83,6,2)))</f>
        <v/>
      </c>
    </row>
    <row r="84" ht="20" customHeight="1">
      <c r="A84" s="21">
        <f>IF(B84="","",ROW()-3)</f>
        <v/>
      </c>
      <c r="B84" s="29" t="n"/>
      <c r="C84" s="29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29" t="n"/>
      <c r="M84" s="19">
        <f>IF(OR(D84="",D84=0),"",E84/D84)</f>
        <v/>
      </c>
      <c r="N84" s="19">
        <f>IF(OR(E84="",E84=0),"",F84/E84)</f>
        <v/>
      </c>
      <c r="O84" s="21">
        <f>IF(B84="","",VALUE(LEFT(B84,4)))</f>
        <v/>
      </c>
      <c r="P84" s="21">
        <f>IF(B84="","",VALUE(MID(B84,6,2)))</f>
        <v/>
      </c>
    </row>
    <row r="85" ht="20" customHeight="1">
      <c r="A85" s="21">
        <f>IF(B85="","",ROW()-3)</f>
        <v/>
      </c>
      <c r="B85" s="29" t="n"/>
      <c r="C85" s="29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29" t="n"/>
      <c r="M85" s="19">
        <f>IF(OR(D85="",D85=0),"",E85/D85)</f>
        <v/>
      </c>
      <c r="N85" s="19">
        <f>IF(OR(E85="",E85=0),"",F85/E85)</f>
        <v/>
      </c>
      <c r="O85" s="21">
        <f>IF(B85="","",VALUE(LEFT(B85,4)))</f>
        <v/>
      </c>
      <c r="P85" s="21">
        <f>IF(B85="","",VALUE(MID(B85,6,2)))</f>
        <v/>
      </c>
    </row>
    <row r="86" ht="20" customHeight="1">
      <c r="A86" s="21">
        <f>IF(B86="","",ROW()-3)</f>
        <v/>
      </c>
      <c r="B86" s="29" t="n"/>
      <c r="C86" s="29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29" t="n"/>
      <c r="M86" s="19">
        <f>IF(OR(D86="",D86=0),"",E86/D86)</f>
        <v/>
      </c>
      <c r="N86" s="19">
        <f>IF(OR(E86="",E86=0),"",F86/E86)</f>
        <v/>
      </c>
      <c r="O86" s="21">
        <f>IF(B86="","",VALUE(LEFT(B86,4)))</f>
        <v/>
      </c>
      <c r="P86" s="21">
        <f>IF(B86="","",VALUE(MID(B86,6,2)))</f>
        <v/>
      </c>
    </row>
    <row r="87" ht="20" customHeight="1">
      <c r="A87" s="21">
        <f>IF(B87="","",ROW()-3)</f>
        <v/>
      </c>
      <c r="B87" s="29" t="n"/>
      <c r="C87" s="29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29" t="n"/>
      <c r="M87" s="19">
        <f>IF(OR(D87="",D87=0),"",E87/D87)</f>
        <v/>
      </c>
      <c r="N87" s="19">
        <f>IF(OR(E87="",E87=0),"",F87/E87)</f>
        <v/>
      </c>
      <c r="O87" s="21">
        <f>IF(B87="","",VALUE(LEFT(B87,4)))</f>
        <v/>
      </c>
      <c r="P87" s="21">
        <f>IF(B87="","",VALUE(MID(B87,6,2)))</f>
        <v/>
      </c>
    </row>
    <row r="88" ht="20" customHeight="1">
      <c r="A88" s="21">
        <f>IF(B88="","",ROW()-3)</f>
        <v/>
      </c>
      <c r="B88" s="29" t="n"/>
      <c r="C88" s="29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29" t="n"/>
      <c r="M88" s="19">
        <f>IF(OR(D88="",D88=0),"",E88/D88)</f>
        <v/>
      </c>
      <c r="N88" s="19">
        <f>IF(OR(E88="",E88=0),"",F88/E88)</f>
        <v/>
      </c>
      <c r="O88" s="21">
        <f>IF(B88="","",VALUE(LEFT(B88,4)))</f>
        <v/>
      </c>
      <c r="P88" s="21">
        <f>IF(B88="","",VALUE(MID(B88,6,2)))</f>
        <v/>
      </c>
    </row>
    <row r="89" ht="20" customHeight="1">
      <c r="A89" s="21">
        <f>IF(B89="","",ROW()-3)</f>
        <v/>
      </c>
      <c r="B89" s="29" t="n"/>
      <c r="C89" s="29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29" t="n"/>
      <c r="M89" s="19">
        <f>IF(OR(D89="",D89=0),"",E89/D89)</f>
        <v/>
      </c>
      <c r="N89" s="19">
        <f>IF(OR(E89="",E89=0),"",F89/E89)</f>
        <v/>
      </c>
      <c r="O89" s="21">
        <f>IF(B89="","",VALUE(LEFT(B89,4)))</f>
        <v/>
      </c>
      <c r="P89" s="21">
        <f>IF(B89="","",VALUE(MID(B89,6,2)))</f>
        <v/>
      </c>
    </row>
    <row r="90" ht="20" customHeight="1">
      <c r="A90" s="21">
        <f>IF(B90="","",ROW()-3)</f>
        <v/>
      </c>
      <c r="B90" s="29" t="n"/>
      <c r="C90" s="29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29" t="n"/>
      <c r="M90" s="19">
        <f>IF(OR(D90="",D90=0),"",E90/D90)</f>
        <v/>
      </c>
      <c r="N90" s="19">
        <f>IF(OR(E90="",E90=0),"",F90/E90)</f>
        <v/>
      </c>
      <c r="O90" s="21">
        <f>IF(B90="","",VALUE(LEFT(B90,4)))</f>
        <v/>
      </c>
      <c r="P90" s="21">
        <f>IF(B90="","",VALUE(MID(B90,6,2)))</f>
        <v/>
      </c>
    </row>
    <row r="91" ht="20" customHeight="1">
      <c r="A91" s="21">
        <f>IF(B91="","",ROW()-3)</f>
        <v/>
      </c>
      <c r="B91" s="29" t="n"/>
      <c r="C91" s="29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29" t="n"/>
      <c r="M91" s="19">
        <f>IF(OR(D91="",D91=0),"",E91/D91)</f>
        <v/>
      </c>
      <c r="N91" s="19">
        <f>IF(OR(E91="",E91=0),"",F91/E91)</f>
        <v/>
      </c>
      <c r="O91" s="21">
        <f>IF(B91="","",VALUE(LEFT(B91,4)))</f>
        <v/>
      </c>
      <c r="P91" s="21">
        <f>IF(B91="","",VALUE(MID(B91,6,2)))</f>
        <v/>
      </c>
    </row>
    <row r="92" ht="20" customHeight="1">
      <c r="A92" s="21">
        <f>IF(B92="","",ROW()-3)</f>
        <v/>
      </c>
      <c r="B92" s="29" t="n"/>
      <c r="C92" s="29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29" t="n"/>
      <c r="M92" s="19">
        <f>IF(OR(D92="",D92=0),"",E92/D92)</f>
        <v/>
      </c>
      <c r="N92" s="19">
        <f>IF(OR(E92="",E92=0),"",F92/E92)</f>
        <v/>
      </c>
      <c r="O92" s="21">
        <f>IF(B92="","",VALUE(LEFT(B92,4)))</f>
        <v/>
      </c>
      <c r="P92" s="21">
        <f>IF(B92="","",VALUE(MID(B92,6,2)))</f>
        <v/>
      </c>
    </row>
    <row r="93" ht="20" customHeight="1">
      <c r="A93" s="21">
        <f>IF(B93="","",ROW()-3)</f>
        <v/>
      </c>
      <c r="B93" s="29" t="n"/>
      <c r="C93" s="29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29" t="n"/>
      <c r="M93" s="19">
        <f>IF(OR(D93="",D93=0),"",E93/D93)</f>
        <v/>
      </c>
      <c r="N93" s="19">
        <f>IF(OR(E93="",E93=0),"",F93/E93)</f>
        <v/>
      </c>
      <c r="O93" s="21">
        <f>IF(B93="","",VALUE(LEFT(B93,4)))</f>
        <v/>
      </c>
      <c r="P93" s="21">
        <f>IF(B93="","",VALUE(MID(B93,6,2)))</f>
        <v/>
      </c>
    </row>
    <row r="94" ht="20" customHeight="1">
      <c r="A94" s="21">
        <f>IF(B94="","",ROW()-3)</f>
        <v/>
      </c>
      <c r="B94" s="29" t="n"/>
      <c r="C94" s="29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29" t="n"/>
      <c r="M94" s="19">
        <f>IF(OR(D94="",D94=0),"",E94/D94)</f>
        <v/>
      </c>
      <c r="N94" s="19">
        <f>IF(OR(E94="",E94=0),"",F94/E94)</f>
        <v/>
      </c>
      <c r="O94" s="21">
        <f>IF(B94="","",VALUE(LEFT(B94,4)))</f>
        <v/>
      </c>
      <c r="P94" s="21">
        <f>IF(B94="","",VALUE(MID(B94,6,2)))</f>
        <v/>
      </c>
    </row>
    <row r="95" ht="20" customHeight="1">
      <c r="A95" s="21">
        <f>IF(B95="","",ROW()-3)</f>
        <v/>
      </c>
      <c r="B95" s="29" t="n"/>
      <c r="C95" s="29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29" t="n"/>
      <c r="M95" s="19">
        <f>IF(OR(D95="",D95=0),"",E95/D95)</f>
        <v/>
      </c>
      <c r="N95" s="19">
        <f>IF(OR(E95="",E95=0),"",F95/E95)</f>
        <v/>
      </c>
      <c r="O95" s="21">
        <f>IF(B95="","",VALUE(LEFT(B95,4)))</f>
        <v/>
      </c>
      <c r="P95" s="21">
        <f>IF(B95="","",VALUE(MID(B95,6,2)))</f>
        <v/>
      </c>
    </row>
    <row r="96" ht="20" customHeight="1">
      <c r="A96" s="21">
        <f>IF(B96="","",ROW()-3)</f>
        <v/>
      </c>
      <c r="B96" s="29" t="n"/>
      <c r="C96" s="29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29" t="n"/>
      <c r="M96" s="19">
        <f>IF(OR(D96="",D96=0),"",E96/D96)</f>
        <v/>
      </c>
      <c r="N96" s="19">
        <f>IF(OR(E96="",E96=0),"",F96/E96)</f>
        <v/>
      </c>
      <c r="O96" s="21">
        <f>IF(B96="","",VALUE(LEFT(B96,4)))</f>
        <v/>
      </c>
      <c r="P96" s="21">
        <f>IF(B96="","",VALUE(MID(B96,6,2)))</f>
        <v/>
      </c>
    </row>
    <row r="97" ht="20" customHeight="1">
      <c r="A97" s="21">
        <f>IF(B97="","",ROW()-3)</f>
        <v/>
      </c>
      <c r="B97" s="29" t="n"/>
      <c r="C97" s="29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29" t="n"/>
      <c r="M97" s="19">
        <f>IF(OR(D97="",D97=0),"",E97/D97)</f>
        <v/>
      </c>
      <c r="N97" s="19">
        <f>IF(OR(E97="",E97=0),"",F97/E97)</f>
        <v/>
      </c>
      <c r="O97" s="21">
        <f>IF(B97="","",VALUE(LEFT(B97,4)))</f>
        <v/>
      </c>
      <c r="P97" s="21">
        <f>IF(B97="","",VALUE(MID(B97,6,2)))</f>
        <v/>
      </c>
    </row>
    <row r="98" ht="20" customHeight="1">
      <c r="A98" s="21">
        <f>IF(B98="","",ROW()-3)</f>
        <v/>
      </c>
      <c r="B98" s="29" t="n"/>
      <c r="C98" s="29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29" t="n"/>
      <c r="M98" s="19">
        <f>IF(OR(D98="",D98=0),"",E98/D98)</f>
        <v/>
      </c>
      <c r="N98" s="19">
        <f>IF(OR(E98="",E98=0),"",F98/E98)</f>
        <v/>
      </c>
      <c r="O98" s="21">
        <f>IF(B98="","",VALUE(LEFT(B98,4)))</f>
        <v/>
      </c>
      <c r="P98" s="21">
        <f>IF(B98="","",VALUE(MID(B98,6,2)))</f>
        <v/>
      </c>
    </row>
    <row r="99" ht="20" customHeight="1">
      <c r="A99" s="21">
        <f>IF(B99="","",ROW()-3)</f>
        <v/>
      </c>
      <c r="B99" s="29" t="n"/>
      <c r="C99" s="29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29" t="n"/>
      <c r="M99" s="19">
        <f>IF(OR(D99="",D99=0),"",E99/D99)</f>
        <v/>
      </c>
      <c r="N99" s="19">
        <f>IF(OR(E99="",E99=0),"",F99/E99)</f>
        <v/>
      </c>
      <c r="O99" s="21">
        <f>IF(B99="","",VALUE(LEFT(B99,4)))</f>
        <v/>
      </c>
      <c r="P99" s="21">
        <f>IF(B99="","",VALUE(MID(B99,6,2)))</f>
        <v/>
      </c>
    </row>
    <row r="100" ht="20" customHeight="1">
      <c r="A100" s="21">
        <f>IF(B100="","",ROW()-3)</f>
        <v/>
      </c>
      <c r="B100" s="29" t="n"/>
      <c r="C100" s="29" t="n"/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29" t="n"/>
      <c r="M100" s="19">
        <f>IF(OR(D100="",D100=0),"",E100/D100)</f>
        <v/>
      </c>
      <c r="N100" s="19">
        <f>IF(OR(E100="",E100=0),"",F100/E100)</f>
        <v/>
      </c>
      <c r="O100" s="21">
        <f>IF(B100="","",VALUE(LEFT(B100,4)))</f>
        <v/>
      </c>
      <c r="P100" s="21">
        <f>IF(B100="","",VALUE(MID(B100,6,2)))</f>
        <v/>
      </c>
    </row>
    <row r="101" ht="20" customHeight="1">
      <c r="A101" s="21">
        <f>IF(B101="","",ROW()-3)</f>
        <v/>
      </c>
      <c r="B101" s="29" t="n"/>
      <c r="C101" s="29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29" t="n"/>
      <c r="M101" s="19">
        <f>IF(OR(D101="",D101=0),"",E101/D101)</f>
        <v/>
      </c>
      <c r="N101" s="19">
        <f>IF(OR(E101="",E101=0),"",F101/E101)</f>
        <v/>
      </c>
      <c r="O101" s="21">
        <f>IF(B101="","",VALUE(LEFT(B101,4)))</f>
        <v/>
      </c>
      <c r="P101" s="21">
        <f>IF(B101="","",VALUE(MID(B101,6,2)))</f>
        <v/>
      </c>
    </row>
    <row r="102" ht="20" customHeight="1">
      <c r="A102" s="21">
        <f>IF(B102="","",ROW()-3)</f>
        <v/>
      </c>
      <c r="B102" s="29" t="n"/>
      <c r="C102" s="29" t="n"/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29" t="n"/>
      <c r="M102" s="19">
        <f>IF(OR(D102="",D102=0),"",E102/D102)</f>
        <v/>
      </c>
      <c r="N102" s="19">
        <f>IF(OR(E102="",E102=0),"",F102/E102)</f>
        <v/>
      </c>
      <c r="O102" s="21">
        <f>IF(B102="","",VALUE(LEFT(B102,4)))</f>
        <v/>
      </c>
      <c r="P102" s="21">
        <f>IF(B102="","",VALUE(MID(B102,6,2)))</f>
        <v/>
      </c>
    </row>
    <row r="103" ht="20" customHeight="1">
      <c r="A103" s="21">
        <f>IF(B103="","",ROW()-3)</f>
        <v/>
      </c>
      <c r="B103" s="29" t="n"/>
      <c r="C103" s="29" t="n"/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29" t="n"/>
      <c r="M103" s="19">
        <f>IF(OR(D103="",D103=0),"",E103/D103)</f>
        <v/>
      </c>
      <c r="N103" s="19">
        <f>IF(OR(E103="",E103=0),"",F103/E103)</f>
        <v/>
      </c>
      <c r="O103" s="21">
        <f>IF(B103="","",VALUE(LEFT(B103,4)))</f>
        <v/>
      </c>
      <c r="P103" s="21">
        <f>IF(B103="","",VALUE(MID(B103,6,2)))</f>
        <v/>
      </c>
    </row>
    <row r="104" ht="20" customHeight="1">
      <c r="A104" s="21">
        <f>IF(B104="","",ROW()-3)</f>
        <v/>
      </c>
      <c r="B104" s="29" t="n"/>
      <c r="C104" s="29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29" t="n"/>
      <c r="M104" s="19">
        <f>IF(OR(D104="",D104=0),"",E104/D104)</f>
        <v/>
      </c>
      <c r="N104" s="19">
        <f>IF(OR(E104="",E104=0),"",F104/E104)</f>
        <v/>
      </c>
      <c r="O104" s="21">
        <f>IF(B104="","",VALUE(LEFT(B104,4)))</f>
        <v/>
      </c>
      <c r="P104" s="21">
        <f>IF(B104="","",VALUE(MID(B104,6,2)))</f>
        <v/>
      </c>
    </row>
    <row r="105" ht="20" customHeight="1">
      <c r="A105" s="21">
        <f>IF(B105="","",ROW()-3)</f>
        <v/>
      </c>
      <c r="B105" s="29" t="n"/>
      <c r="C105" s="29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29" t="n"/>
      <c r="M105" s="19">
        <f>IF(OR(D105="",D105=0),"",E105/D105)</f>
        <v/>
      </c>
      <c r="N105" s="19">
        <f>IF(OR(E105="",E105=0),"",F105/E105)</f>
        <v/>
      </c>
      <c r="O105" s="21">
        <f>IF(B105="","",VALUE(LEFT(B105,4)))</f>
        <v/>
      </c>
      <c r="P105" s="21">
        <f>IF(B105="","",VALUE(MID(B105,6,2)))</f>
        <v/>
      </c>
    </row>
    <row r="106" ht="20" customHeight="1">
      <c r="A106" s="21">
        <f>IF(B106="","",ROW()-3)</f>
        <v/>
      </c>
      <c r="B106" s="29" t="n"/>
      <c r="C106" s="29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29" t="n"/>
      <c r="M106" s="19">
        <f>IF(OR(D106="",D106=0),"",E106/D106)</f>
        <v/>
      </c>
      <c r="N106" s="19">
        <f>IF(OR(E106="",E106=0),"",F106/E106)</f>
        <v/>
      </c>
      <c r="O106" s="21">
        <f>IF(B106="","",VALUE(LEFT(B106,4)))</f>
        <v/>
      </c>
      <c r="P106" s="21">
        <f>IF(B106="","",VALUE(MID(B106,6,2)))</f>
        <v/>
      </c>
    </row>
    <row r="107" ht="20" customHeight="1">
      <c r="A107" s="21">
        <f>IF(B107="","",ROW()-3)</f>
        <v/>
      </c>
      <c r="B107" s="29" t="n"/>
      <c r="C107" s="29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29" t="n"/>
      <c r="M107" s="19">
        <f>IF(OR(D107="",D107=0),"",E107/D107)</f>
        <v/>
      </c>
      <c r="N107" s="19">
        <f>IF(OR(E107="",E107=0),"",F107/E107)</f>
        <v/>
      </c>
      <c r="O107" s="21">
        <f>IF(B107="","",VALUE(LEFT(B107,4)))</f>
        <v/>
      </c>
      <c r="P107" s="21">
        <f>IF(B107="","",VALUE(MID(B107,6,2)))</f>
        <v/>
      </c>
    </row>
    <row r="108" ht="20" customHeight="1">
      <c r="A108" s="21">
        <f>IF(B108="","",ROW()-3)</f>
        <v/>
      </c>
      <c r="B108" s="29" t="n"/>
      <c r="C108" s="29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29" t="n"/>
      <c r="M108" s="19">
        <f>IF(OR(D108="",D108=0),"",E108/D108)</f>
        <v/>
      </c>
      <c r="N108" s="19">
        <f>IF(OR(E108="",E108=0),"",F108/E108)</f>
        <v/>
      </c>
      <c r="O108" s="21">
        <f>IF(B108="","",VALUE(LEFT(B108,4)))</f>
        <v/>
      </c>
      <c r="P108" s="21">
        <f>IF(B108="","",VALUE(MID(B108,6,2)))</f>
        <v/>
      </c>
    </row>
    <row r="109" ht="20" customHeight="1">
      <c r="A109" s="21">
        <f>IF(B109="","",ROW()-3)</f>
        <v/>
      </c>
      <c r="B109" s="29" t="n"/>
      <c r="C109" s="29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29" t="n"/>
      <c r="M109" s="19">
        <f>IF(OR(D109="",D109=0),"",E109/D109)</f>
        <v/>
      </c>
      <c r="N109" s="19">
        <f>IF(OR(E109="",E109=0),"",F109/E109)</f>
        <v/>
      </c>
      <c r="O109" s="21">
        <f>IF(B109="","",VALUE(LEFT(B109,4)))</f>
        <v/>
      </c>
      <c r="P109" s="21">
        <f>IF(B109="","",VALUE(MID(B109,6,2)))</f>
        <v/>
      </c>
    </row>
    <row r="110" ht="20" customHeight="1">
      <c r="A110" s="21">
        <f>IF(B110="","",ROW()-3)</f>
        <v/>
      </c>
      <c r="B110" s="29" t="n"/>
      <c r="C110" s="29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29" t="n"/>
      <c r="M110" s="19">
        <f>IF(OR(D110="",D110=0),"",E110/D110)</f>
        <v/>
      </c>
      <c r="N110" s="19">
        <f>IF(OR(E110="",E110=0),"",F110/E110)</f>
        <v/>
      </c>
      <c r="O110" s="21">
        <f>IF(B110="","",VALUE(LEFT(B110,4)))</f>
        <v/>
      </c>
      <c r="P110" s="21">
        <f>IF(B110="","",VALUE(MID(B110,6,2)))</f>
        <v/>
      </c>
    </row>
    <row r="111" ht="20" customHeight="1">
      <c r="A111" s="21">
        <f>IF(B111="","",ROW()-3)</f>
        <v/>
      </c>
      <c r="B111" s="29" t="n"/>
      <c r="C111" s="29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29" t="n"/>
      <c r="M111" s="19">
        <f>IF(OR(D111="",D111=0),"",E111/D111)</f>
        <v/>
      </c>
      <c r="N111" s="19">
        <f>IF(OR(E111="",E111=0),"",F111/E111)</f>
        <v/>
      </c>
      <c r="O111" s="21">
        <f>IF(B111="","",VALUE(LEFT(B111,4)))</f>
        <v/>
      </c>
      <c r="P111" s="21">
        <f>IF(B111="","",VALUE(MID(B111,6,2)))</f>
        <v/>
      </c>
    </row>
    <row r="112" ht="20" customHeight="1">
      <c r="A112" s="21">
        <f>IF(B112="","",ROW()-3)</f>
        <v/>
      </c>
      <c r="B112" s="29" t="n"/>
      <c r="C112" s="29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29" t="n"/>
      <c r="M112" s="19">
        <f>IF(OR(D112="",D112=0),"",E112/D112)</f>
        <v/>
      </c>
      <c r="N112" s="19">
        <f>IF(OR(E112="",E112=0),"",F112/E112)</f>
        <v/>
      </c>
      <c r="O112" s="21">
        <f>IF(B112="","",VALUE(LEFT(B112,4)))</f>
        <v/>
      </c>
      <c r="P112" s="21">
        <f>IF(B112="","",VALUE(MID(B112,6,2)))</f>
        <v/>
      </c>
    </row>
    <row r="113" ht="20" customHeight="1">
      <c r="A113" s="21">
        <f>IF(B113="","",ROW()-3)</f>
        <v/>
      </c>
      <c r="B113" s="29" t="n"/>
      <c r="C113" s="29" t="n"/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29" t="n"/>
      <c r="M113" s="19">
        <f>IF(OR(D113="",D113=0),"",E113/D113)</f>
        <v/>
      </c>
      <c r="N113" s="19">
        <f>IF(OR(E113="",E113=0),"",F113/E113)</f>
        <v/>
      </c>
      <c r="O113" s="21">
        <f>IF(B113="","",VALUE(LEFT(B113,4)))</f>
        <v/>
      </c>
      <c r="P113" s="21">
        <f>IF(B113="","",VALUE(MID(B113,6,2)))</f>
        <v/>
      </c>
    </row>
    <row r="114" ht="20" customHeight="1">
      <c r="A114" s="21">
        <f>IF(B114="","",ROW()-3)</f>
        <v/>
      </c>
      <c r="B114" s="29" t="n"/>
      <c r="C114" s="29" t="n"/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29" t="n"/>
      <c r="M114" s="19">
        <f>IF(OR(D114="",D114=0),"",E114/D114)</f>
        <v/>
      </c>
      <c r="N114" s="19">
        <f>IF(OR(E114="",E114=0),"",F114/E114)</f>
        <v/>
      </c>
      <c r="O114" s="21">
        <f>IF(B114="","",VALUE(LEFT(B114,4)))</f>
        <v/>
      </c>
      <c r="P114" s="21">
        <f>IF(B114="","",VALUE(MID(B114,6,2)))</f>
        <v/>
      </c>
    </row>
    <row r="115" ht="20" customHeight="1">
      <c r="A115" s="21">
        <f>IF(B115="","",ROW()-3)</f>
        <v/>
      </c>
      <c r="B115" s="29" t="n"/>
      <c r="C115" s="29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29" t="n"/>
      <c r="M115" s="19">
        <f>IF(OR(D115="",D115=0),"",E115/D115)</f>
        <v/>
      </c>
      <c r="N115" s="19">
        <f>IF(OR(E115="",E115=0),"",F115/E115)</f>
        <v/>
      </c>
      <c r="O115" s="21">
        <f>IF(B115="","",VALUE(LEFT(B115,4)))</f>
        <v/>
      </c>
      <c r="P115" s="21">
        <f>IF(B115="","",VALUE(MID(B115,6,2)))</f>
        <v/>
      </c>
    </row>
    <row r="116" ht="20" customHeight="1">
      <c r="A116" s="21">
        <f>IF(B116="","",ROW()-3)</f>
        <v/>
      </c>
      <c r="B116" s="29" t="n"/>
      <c r="C116" s="29" t="n"/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29" t="n"/>
      <c r="M116" s="19">
        <f>IF(OR(D116="",D116=0),"",E116/D116)</f>
        <v/>
      </c>
      <c r="N116" s="19">
        <f>IF(OR(E116="",E116=0),"",F116/E116)</f>
        <v/>
      </c>
      <c r="O116" s="21">
        <f>IF(B116="","",VALUE(LEFT(B116,4)))</f>
        <v/>
      </c>
      <c r="P116" s="21">
        <f>IF(B116="","",VALUE(MID(B116,6,2)))</f>
        <v/>
      </c>
    </row>
    <row r="117" ht="20" customHeight="1">
      <c r="A117" s="21">
        <f>IF(B117="","",ROW()-3)</f>
        <v/>
      </c>
      <c r="B117" s="29" t="n"/>
      <c r="C117" s="29" t="n"/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29" t="n"/>
      <c r="M117" s="19">
        <f>IF(OR(D117="",D117=0),"",E117/D117)</f>
        <v/>
      </c>
      <c r="N117" s="19">
        <f>IF(OR(E117="",E117=0),"",F117/E117)</f>
        <v/>
      </c>
      <c r="O117" s="21">
        <f>IF(B117="","",VALUE(LEFT(B117,4)))</f>
        <v/>
      </c>
      <c r="P117" s="21">
        <f>IF(B117="","",VALUE(MID(B117,6,2)))</f>
        <v/>
      </c>
    </row>
    <row r="118" ht="20" customHeight="1">
      <c r="A118" s="21">
        <f>IF(B118="","",ROW()-3)</f>
        <v/>
      </c>
      <c r="B118" s="29" t="n"/>
      <c r="C118" s="29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29" t="n"/>
      <c r="M118" s="19">
        <f>IF(OR(D118="",D118=0),"",E118/D118)</f>
        <v/>
      </c>
      <c r="N118" s="19">
        <f>IF(OR(E118="",E118=0),"",F118/E118)</f>
        <v/>
      </c>
      <c r="O118" s="21">
        <f>IF(B118="","",VALUE(LEFT(B118,4)))</f>
        <v/>
      </c>
      <c r="P118" s="21">
        <f>IF(B118="","",VALUE(MID(B118,6,2)))</f>
        <v/>
      </c>
    </row>
    <row r="119" ht="20" customHeight="1">
      <c r="A119" s="21">
        <f>IF(B119="","",ROW()-3)</f>
        <v/>
      </c>
      <c r="B119" s="29" t="n"/>
      <c r="C119" s="29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29" t="n"/>
      <c r="M119" s="19">
        <f>IF(OR(D119="",D119=0),"",E119/D119)</f>
        <v/>
      </c>
      <c r="N119" s="19">
        <f>IF(OR(E119="",E119=0),"",F119/E119)</f>
        <v/>
      </c>
      <c r="O119" s="21">
        <f>IF(B119="","",VALUE(LEFT(B119,4)))</f>
        <v/>
      </c>
      <c r="P119" s="21">
        <f>IF(B119="","",VALUE(MID(B119,6,2)))</f>
        <v/>
      </c>
    </row>
    <row r="120" ht="20" customHeight="1">
      <c r="A120" s="21">
        <f>IF(B120="","",ROW()-3)</f>
        <v/>
      </c>
      <c r="B120" s="29" t="n"/>
      <c r="C120" s="29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29" t="n"/>
      <c r="M120" s="19">
        <f>IF(OR(D120="",D120=0),"",E120/D120)</f>
        <v/>
      </c>
      <c r="N120" s="19">
        <f>IF(OR(E120="",E120=0),"",F120/E120)</f>
        <v/>
      </c>
      <c r="O120" s="21">
        <f>IF(B120="","",VALUE(LEFT(B120,4)))</f>
        <v/>
      </c>
      <c r="P120" s="21">
        <f>IF(B120="","",VALUE(MID(B120,6,2)))</f>
        <v/>
      </c>
    </row>
    <row r="121" ht="20" customHeight="1">
      <c r="A121" s="21">
        <f>IF(B121="","",ROW()-3)</f>
        <v/>
      </c>
      <c r="B121" s="29" t="n"/>
      <c r="C121" s="29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29" t="n"/>
      <c r="M121" s="19">
        <f>IF(OR(D121="",D121=0),"",E121/D121)</f>
        <v/>
      </c>
      <c r="N121" s="19">
        <f>IF(OR(E121="",E121=0),"",F121/E121)</f>
        <v/>
      </c>
      <c r="O121" s="21">
        <f>IF(B121="","",VALUE(LEFT(B121,4)))</f>
        <v/>
      </c>
      <c r="P121" s="21">
        <f>IF(B121="","",VALUE(MID(B121,6,2)))</f>
        <v/>
      </c>
    </row>
    <row r="122" ht="20" customHeight="1">
      <c r="A122" s="21">
        <f>IF(B122="","",ROW()-3)</f>
        <v/>
      </c>
      <c r="B122" s="29" t="n"/>
      <c r="C122" s="29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29" t="n"/>
      <c r="M122" s="19">
        <f>IF(OR(D122="",D122=0),"",E122/D122)</f>
        <v/>
      </c>
      <c r="N122" s="19">
        <f>IF(OR(E122="",E122=0),"",F122/E122)</f>
        <v/>
      </c>
      <c r="O122" s="21">
        <f>IF(B122="","",VALUE(LEFT(B122,4)))</f>
        <v/>
      </c>
      <c r="P122" s="21">
        <f>IF(B122="","",VALUE(MID(B122,6,2)))</f>
        <v/>
      </c>
    </row>
    <row r="123" ht="20" customHeight="1">
      <c r="A123" s="21">
        <f>IF(B123="","",ROW()-3)</f>
        <v/>
      </c>
      <c r="B123" s="29" t="n"/>
      <c r="C123" s="29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29" t="n"/>
      <c r="M123" s="19">
        <f>IF(OR(D123="",D123=0),"",E123/D123)</f>
        <v/>
      </c>
      <c r="N123" s="19">
        <f>IF(OR(E123="",E123=0),"",F123/E123)</f>
        <v/>
      </c>
      <c r="O123" s="21">
        <f>IF(B123="","",VALUE(LEFT(B123,4)))</f>
        <v/>
      </c>
      <c r="P123" s="21">
        <f>IF(B123="","",VALUE(MID(B123,6,2)))</f>
        <v/>
      </c>
    </row>
    <row r="124" ht="20" customHeight="1">
      <c r="A124" s="21">
        <f>IF(B124="","",ROW()-3)</f>
        <v/>
      </c>
      <c r="B124" s="29" t="n"/>
      <c r="C124" s="29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29" t="n"/>
      <c r="M124" s="19">
        <f>IF(OR(D124="",D124=0),"",E124/D124)</f>
        <v/>
      </c>
      <c r="N124" s="19">
        <f>IF(OR(E124="",E124=0),"",F124/E124)</f>
        <v/>
      </c>
      <c r="O124" s="21">
        <f>IF(B124="","",VALUE(LEFT(B124,4)))</f>
        <v/>
      </c>
      <c r="P124" s="21">
        <f>IF(B124="","",VALUE(MID(B124,6,2)))</f>
        <v/>
      </c>
    </row>
    <row r="125" ht="20" customHeight="1">
      <c r="A125" s="21">
        <f>IF(B125="","",ROW()-3)</f>
        <v/>
      </c>
      <c r="B125" s="29" t="n"/>
      <c r="C125" s="29" t="n"/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29" t="n"/>
      <c r="M125" s="19">
        <f>IF(OR(D125="",D125=0),"",E125/D125)</f>
        <v/>
      </c>
      <c r="N125" s="19">
        <f>IF(OR(E125="",E125=0),"",F125/E125)</f>
        <v/>
      </c>
      <c r="O125" s="21">
        <f>IF(B125="","",VALUE(LEFT(B125,4)))</f>
        <v/>
      </c>
      <c r="P125" s="21">
        <f>IF(B125="","",VALUE(MID(B125,6,2)))</f>
        <v/>
      </c>
    </row>
    <row r="126" ht="20" customHeight="1">
      <c r="A126" s="21">
        <f>IF(B126="","",ROW()-3)</f>
        <v/>
      </c>
      <c r="B126" s="29" t="n"/>
      <c r="C126" s="29" t="n"/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29" t="n"/>
      <c r="M126" s="19">
        <f>IF(OR(D126="",D126=0),"",E126/D126)</f>
        <v/>
      </c>
      <c r="N126" s="19">
        <f>IF(OR(E126="",E126=0),"",F126/E126)</f>
        <v/>
      </c>
      <c r="O126" s="21">
        <f>IF(B126="","",VALUE(LEFT(B126,4)))</f>
        <v/>
      </c>
      <c r="P126" s="21">
        <f>IF(B126="","",VALUE(MID(B126,6,2)))</f>
        <v/>
      </c>
    </row>
    <row r="127" ht="20" customHeight="1">
      <c r="A127" s="21">
        <f>IF(B127="","",ROW()-3)</f>
        <v/>
      </c>
      <c r="B127" s="29" t="n"/>
      <c r="C127" s="29" t="n"/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29" t="n"/>
      <c r="M127" s="19">
        <f>IF(OR(D127="",D127=0),"",E127/D127)</f>
        <v/>
      </c>
      <c r="N127" s="19">
        <f>IF(OR(E127="",E127=0),"",F127/E127)</f>
        <v/>
      </c>
      <c r="O127" s="21">
        <f>IF(B127="","",VALUE(LEFT(B127,4)))</f>
        <v/>
      </c>
      <c r="P127" s="21">
        <f>IF(B127="","",VALUE(MID(B127,6,2)))</f>
        <v/>
      </c>
    </row>
    <row r="128" ht="20" customHeight="1">
      <c r="A128" s="21">
        <f>IF(B128="","",ROW()-3)</f>
        <v/>
      </c>
      <c r="B128" s="29" t="n"/>
      <c r="C128" s="29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29" t="n"/>
      <c r="M128" s="19">
        <f>IF(OR(D128="",D128=0),"",E128/D128)</f>
        <v/>
      </c>
      <c r="N128" s="19">
        <f>IF(OR(E128="",E128=0),"",F128/E128)</f>
        <v/>
      </c>
      <c r="O128" s="21">
        <f>IF(B128="","",VALUE(LEFT(B128,4)))</f>
        <v/>
      </c>
      <c r="P128" s="21">
        <f>IF(B128="","",VALUE(MID(B128,6,2)))</f>
        <v/>
      </c>
    </row>
    <row r="129" ht="20" customHeight="1">
      <c r="A129" s="21">
        <f>IF(B129="","",ROW()-3)</f>
        <v/>
      </c>
      <c r="B129" s="29" t="n"/>
      <c r="C129" s="29" t="n"/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29" t="n"/>
      <c r="M129" s="19">
        <f>IF(OR(D129="",D129=0),"",E129/D129)</f>
        <v/>
      </c>
      <c r="N129" s="19">
        <f>IF(OR(E129="",E129=0),"",F129/E129)</f>
        <v/>
      </c>
      <c r="O129" s="21">
        <f>IF(B129="","",VALUE(LEFT(B129,4)))</f>
        <v/>
      </c>
      <c r="P129" s="21">
        <f>IF(B129="","",VALUE(MID(B129,6,2)))</f>
        <v/>
      </c>
    </row>
    <row r="130" ht="20" customHeight="1">
      <c r="A130" s="21">
        <f>IF(B130="","",ROW()-3)</f>
        <v/>
      </c>
      <c r="B130" s="29" t="n"/>
      <c r="C130" s="29" t="n"/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29" t="n"/>
      <c r="M130" s="19">
        <f>IF(OR(D130="",D130=0),"",E130/D130)</f>
        <v/>
      </c>
      <c r="N130" s="19">
        <f>IF(OR(E130="",E130=0),"",F130/E130)</f>
        <v/>
      </c>
      <c r="O130" s="21">
        <f>IF(B130="","",VALUE(LEFT(B130,4)))</f>
        <v/>
      </c>
      <c r="P130" s="21">
        <f>IF(B130="","",VALUE(MID(B130,6,2)))</f>
        <v/>
      </c>
    </row>
    <row r="131" ht="20" customHeight="1">
      <c r="A131" s="21">
        <f>IF(B131="","",ROW()-3)</f>
        <v/>
      </c>
      <c r="B131" s="29" t="n"/>
      <c r="C131" s="29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29" t="n"/>
      <c r="M131" s="19">
        <f>IF(OR(D131="",D131=0),"",E131/D131)</f>
        <v/>
      </c>
      <c r="N131" s="19">
        <f>IF(OR(E131="",E131=0),"",F131/E131)</f>
        <v/>
      </c>
      <c r="O131" s="21">
        <f>IF(B131="","",VALUE(LEFT(B131,4)))</f>
        <v/>
      </c>
      <c r="P131" s="21">
        <f>IF(B131="","",VALUE(MID(B131,6,2)))</f>
        <v/>
      </c>
    </row>
    <row r="132" ht="20" customHeight="1">
      <c r="A132" s="21">
        <f>IF(B132="","",ROW()-3)</f>
        <v/>
      </c>
      <c r="B132" s="29" t="n"/>
      <c r="C132" s="29" t="n"/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29" t="n"/>
      <c r="M132" s="19">
        <f>IF(OR(D132="",D132=0),"",E132/D132)</f>
        <v/>
      </c>
      <c r="N132" s="19">
        <f>IF(OR(E132="",E132=0),"",F132/E132)</f>
        <v/>
      </c>
      <c r="O132" s="21">
        <f>IF(B132="","",VALUE(LEFT(B132,4)))</f>
        <v/>
      </c>
      <c r="P132" s="21">
        <f>IF(B132="","",VALUE(MID(B132,6,2)))</f>
        <v/>
      </c>
    </row>
    <row r="133" ht="20" customHeight="1">
      <c r="A133" s="21">
        <f>IF(B133="","",ROW()-3)</f>
        <v/>
      </c>
      <c r="B133" s="29" t="n"/>
      <c r="C133" s="29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29" t="n"/>
      <c r="M133" s="19">
        <f>IF(OR(D133="",D133=0),"",E133/D133)</f>
        <v/>
      </c>
      <c r="N133" s="19">
        <f>IF(OR(E133="",E133=0),"",F133/E133)</f>
        <v/>
      </c>
      <c r="O133" s="21">
        <f>IF(B133="","",VALUE(LEFT(B133,4)))</f>
        <v/>
      </c>
      <c r="P133" s="21">
        <f>IF(B133="","",VALUE(MID(B133,6,2)))</f>
        <v/>
      </c>
    </row>
    <row r="134" ht="20" customHeight="1">
      <c r="A134" s="21">
        <f>IF(B134="","",ROW()-3)</f>
        <v/>
      </c>
      <c r="B134" s="29" t="n"/>
      <c r="C134" s="29" t="n"/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29" t="n"/>
      <c r="M134" s="19">
        <f>IF(OR(D134="",D134=0),"",E134/D134)</f>
        <v/>
      </c>
      <c r="N134" s="19">
        <f>IF(OR(E134="",E134=0),"",F134/E134)</f>
        <v/>
      </c>
      <c r="O134" s="21">
        <f>IF(B134="","",VALUE(LEFT(B134,4)))</f>
        <v/>
      </c>
      <c r="P134" s="21">
        <f>IF(B134="","",VALUE(MID(B134,6,2)))</f>
        <v/>
      </c>
    </row>
    <row r="135" ht="20" customHeight="1">
      <c r="A135" s="21">
        <f>IF(B135="","",ROW()-3)</f>
        <v/>
      </c>
      <c r="B135" s="29" t="n"/>
      <c r="C135" s="29" t="n"/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29" t="n"/>
      <c r="M135" s="19">
        <f>IF(OR(D135="",D135=0),"",E135/D135)</f>
        <v/>
      </c>
      <c r="N135" s="19">
        <f>IF(OR(E135="",E135=0),"",F135/E135)</f>
        <v/>
      </c>
      <c r="O135" s="21">
        <f>IF(B135="","",VALUE(LEFT(B135,4)))</f>
        <v/>
      </c>
      <c r="P135" s="21">
        <f>IF(B135="","",VALUE(MID(B135,6,2)))</f>
        <v/>
      </c>
    </row>
    <row r="136" ht="20" customHeight="1">
      <c r="A136" s="21">
        <f>IF(B136="","",ROW()-3)</f>
        <v/>
      </c>
      <c r="B136" s="29" t="n"/>
      <c r="C136" s="29" t="n"/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29" t="n"/>
      <c r="M136" s="19">
        <f>IF(OR(D136="",D136=0),"",E136/D136)</f>
        <v/>
      </c>
      <c r="N136" s="19">
        <f>IF(OR(E136="",E136=0),"",F136/E136)</f>
        <v/>
      </c>
      <c r="O136" s="21">
        <f>IF(B136="","",VALUE(LEFT(B136,4)))</f>
        <v/>
      </c>
      <c r="P136" s="21">
        <f>IF(B136="","",VALUE(MID(B136,6,2)))</f>
        <v/>
      </c>
    </row>
    <row r="137" ht="20" customHeight="1">
      <c r="A137" s="21">
        <f>IF(B137="","",ROW()-3)</f>
        <v/>
      </c>
      <c r="B137" s="29" t="n"/>
      <c r="C137" s="29" t="n"/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29" t="n"/>
      <c r="M137" s="19">
        <f>IF(OR(D137="",D137=0),"",E137/D137)</f>
        <v/>
      </c>
      <c r="N137" s="19">
        <f>IF(OR(E137="",E137=0),"",F137/E137)</f>
        <v/>
      </c>
      <c r="O137" s="21">
        <f>IF(B137="","",VALUE(LEFT(B137,4)))</f>
        <v/>
      </c>
      <c r="P137" s="21">
        <f>IF(B137="","",VALUE(MID(B137,6,2)))</f>
        <v/>
      </c>
    </row>
    <row r="138" ht="20" customHeight="1">
      <c r="A138" s="21">
        <f>IF(B138="","",ROW()-3)</f>
        <v/>
      </c>
      <c r="B138" s="29" t="n"/>
      <c r="C138" s="29" t="n"/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29" t="n"/>
      <c r="M138" s="19">
        <f>IF(OR(D138="",D138=0),"",E138/D138)</f>
        <v/>
      </c>
      <c r="N138" s="19">
        <f>IF(OR(E138="",E138=0),"",F138/E138)</f>
        <v/>
      </c>
      <c r="O138" s="21">
        <f>IF(B138="","",VALUE(LEFT(B138,4)))</f>
        <v/>
      </c>
      <c r="P138" s="21">
        <f>IF(B138="","",VALUE(MID(B138,6,2)))</f>
        <v/>
      </c>
    </row>
    <row r="139" ht="20" customHeight="1">
      <c r="A139" s="21">
        <f>IF(B139="","",ROW()-3)</f>
        <v/>
      </c>
      <c r="B139" s="29" t="n"/>
      <c r="C139" s="29" t="n"/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29" t="n"/>
      <c r="M139" s="19">
        <f>IF(OR(D139="",D139=0),"",E139/D139)</f>
        <v/>
      </c>
      <c r="N139" s="19">
        <f>IF(OR(E139="",E139=0),"",F139/E139)</f>
        <v/>
      </c>
      <c r="O139" s="21">
        <f>IF(B139="","",VALUE(LEFT(B139,4)))</f>
        <v/>
      </c>
      <c r="P139" s="21">
        <f>IF(B139="","",VALUE(MID(B139,6,2)))</f>
        <v/>
      </c>
    </row>
    <row r="140" ht="20" customHeight="1">
      <c r="A140" s="21">
        <f>IF(B140="","",ROW()-3)</f>
        <v/>
      </c>
      <c r="B140" s="29" t="n"/>
      <c r="C140" s="29" t="n"/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29" t="n"/>
      <c r="M140" s="19">
        <f>IF(OR(D140="",D140=0),"",E140/D140)</f>
        <v/>
      </c>
      <c r="N140" s="19">
        <f>IF(OR(E140="",E140=0),"",F140/E140)</f>
        <v/>
      </c>
      <c r="O140" s="21">
        <f>IF(B140="","",VALUE(LEFT(B140,4)))</f>
        <v/>
      </c>
      <c r="P140" s="21">
        <f>IF(B140="","",VALUE(MID(B140,6,2)))</f>
        <v/>
      </c>
    </row>
    <row r="141" ht="20" customHeight="1">
      <c r="A141" s="21">
        <f>IF(B141="","",ROW()-3)</f>
        <v/>
      </c>
      <c r="B141" s="29" t="n"/>
      <c r="C141" s="29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29" t="n"/>
      <c r="M141" s="19">
        <f>IF(OR(D141="",D141=0),"",E141/D141)</f>
        <v/>
      </c>
      <c r="N141" s="19">
        <f>IF(OR(E141="",E141=0),"",F141/E141)</f>
        <v/>
      </c>
      <c r="O141" s="21">
        <f>IF(B141="","",VALUE(LEFT(B141,4)))</f>
        <v/>
      </c>
      <c r="P141" s="21">
        <f>IF(B141="","",VALUE(MID(B141,6,2)))</f>
        <v/>
      </c>
    </row>
    <row r="142" ht="20" customHeight="1">
      <c r="A142" s="21">
        <f>IF(B142="","",ROW()-3)</f>
        <v/>
      </c>
      <c r="B142" s="29" t="n"/>
      <c r="C142" s="29" t="n"/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29" t="n"/>
      <c r="M142" s="19">
        <f>IF(OR(D142="",D142=0),"",E142/D142)</f>
        <v/>
      </c>
      <c r="N142" s="19">
        <f>IF(OR(E142="",E142=0),"",F142/E142)</f>
        <v/>
      </c>
      <c r="O142" s="21">
        <f>IF(B142="","",VALUE(LEFT(B142,4)))</f>
        <v/>
      </c>
      <c r="P142" s="21">
        <f>IF(B142="","",VALUE(MID(B142,6,2)))</f>
        <v/>
      </c>
    </row>
    <row r="143" ht="20" customHeight="1">
      <c r="A143" s="21">
        <f>IF(B143="","",ROW()-3)</f>
        <v/>
      </c>
      <c r="B143" s="29" t="n"/>
      <c r="C143" s="29" t="n"/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29" t="n"/>
      <c r="M143" s="19">
        <f>IF(OR(D143="",D143=0),"",E143/D143)</f>
        <v/>
      </c>
      <c r="N143" s="19">
        <f>IF(OR(E143="",E143=0),"",F143/E143)</f>
        <v/>
      </c>
      <c r="O143" s="21">
        <f>IF(B143="","",VALUE(LEFT(B143,4)))</f>
        <v/>
      </c>
      <c r="P143" s="21">
        <f>IF(B143="","",VALUE(MID(B143,6,2)))</f>
        <v/>
      </c>
    </row>
    <row r="144" ht="20" customHeight="1">
      <c r="A144" s="21">
        <f>IF(B144="","",ROW()-3)</f>
        <v/>
      </c>
      <c r="B144" s="29" t="n"/>
      <c r="C144" s="29" t="n"/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29" t="n"/>
      <c r="M144" s="19">
        <f>IF(OR(D144="",D144=0),"",E144/D144)</f>
        <v/>
      </c>
      <c r="N144" s="19">
        <f>IF(OR(E144="",E144=0),"",F144/E144)</f>
        <v/>
      </c>
      <c r="O144" s="21">
        <f>IF(B144="","",VALUE(LEFT(B144,4)))</f>
        <v/>
      </c>
      <c r="P144" s="21">
        <f>IF(B144="","",VALUE(MID(B144,6,2)))</f>
        <v/>
      </c>
    </row>
    <row r="145" ht="20" customHeight="1">
      <c r="A145" s="21">
        <f>IF(B145="","",ROW()-3)</f>
        <v/>
      </c>
      <c r="B145" s="29" t="n"/>
      <c r="C145" s="29" t="n"/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29" t="n"/>
      <c r="M145" s="19">
        <f>IF(OR(D145="",D145=0),"",E145/D145)</f>
        <v/>
      </c>
      <c r="N145" s="19">
        <f>IF(OR(E145="",E145=0),"",F145/E145)</f>
        <v/>
      </c>
      <c r="O145" s="21">
        <f>IF(B145="","",VALUE(LEFT(B145,4)))</f>
        <v/>
      </c>
      <c r="P145" s="21">
        <f>IF(B145="","",VALUE(MID(B145,6,2)))</f>
        <v/>
      </c>
    </row>
    <row r="146" ht="20" customHeight="1">
      <c r="A146" s="21">
        <f>IF(B146="","",ROW()-3)</f>
        <v/>
      </c>
      <c r="B146" s="29" t="n"/>
      <c r="C146" s="29" t="n"/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29" t="n"/>
      <c r="M146" s="19">
        <f>IF(OR(D146="",D146=0),"",E146/D146)</f>
        <v/>
      </c>
      <c r="N146" s="19">
        <f>IF(OR(E146="",E146=0),"",F146/E146)</f>
        <v/>
      </c>
      <c r="O146" s="21">
        <f>IF(B146="","",VALUE(LEFT(B146,4)))</f>
        <v/>
      </c>
      <c r="P146" s="21">
        <f>IF(B146="","",VALUE(MID(B146,6,2)))</f>
        <v/>
      </c>
    </row>
    <row r="147" ht="20" customHeight="1">
      <c r="A147" s="21">
        <f>IF(B147="","",ROW()-3)</f>
        <v/>
      </c>
      <c r="B147" s="29" t="n"/>
      <c r="C147" s="29" t="n"/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29" t="n"/>
      <c r="M147" s="19">
        <f>IF(OR(D147="",D147=0),"",E147/D147)</f>
        <v/>
      </c>
      <c r="N147" s="19">
        <f>IF(OR(E147="",E147=0),"",F147/E147)</f>
        <v/>
      </c>
      <c r="O147" s="21">
        <f>IF(B147="","",VALUE(LEFT(B147,4)))</f>
        <v/>
      </c>
      <c r="P147" s="21">
        <f>IF(B147="","",VALUE(MID(B147,6,2)))</f>
        <v/>
      </c>
    </row>
    <row r="148" ht="20" customHeight="1">
      <c r="A148" s="21">
        <f>IF(B148="","",ROW()-3)</f>
        <v/>
      </c>
      <c r="B148" s="29" t="n"/>
      <c r="C148" s="29" t="n"/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29" t="n"/>
      <c r="M148" s="19">
        <f>IF(OR(D148="",D148=0),"",E148/D148)</f>
        <v/>
      </c>
      <c r="N148" s="19">
        <f>IF(OR(E148="",E148=0),"",F148/E148)</f>
        <v/>
      </c>
      <c r="O148" s="21">
        <f>IF(B148="","",VALUE(LEFT(B148,4)))</f>
        <v/>
      </c>
      <c r="P148" s="21">
        <f>IF(B148="","",VALUE(MID(B148,6,2)))</f>
        <v/>
      </c>
    </row>
    <row r="149" ht="20" customHeight="1">
      <c r="A149" s="21">
        <f>IF(B149="","",ROW()-3)</f>
        <v/>
      </c>
      <c r="B149" s="29" t="n"/>
      <c r="C149" s="29" t="n"/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29" t="n"/>
      <c r="M149" s="19">
        <f>IF(OR(D149="",D149=0),"",E149/D149)</f>
        <v/>
      </c>
      <c r="N149" s="19">
        <f>IF(OR(E149="",E149=0),"",F149/E149)</f>
        <v/>
      </c>
      <c r="O149" s="21">
        <f>IF(B149="","",VALUE(LEFT(B149,4)))</f>
        <v/>
      </c>
      <c r="P149" s="21">
        <f>IF(B149="","",VALUE(MID(B149,6,2)))</f>
        <v/>
      </c>
    </row>
    <row r="150" ht="20" customHeight="1">
      <c r="A150" s="21">
        <f>IF(B150="","",ROW()-3)</f>
        <v/>
      </c>
      <c r="B150" s="29" t="n"/>
      <c r="C150" s="29" t="n"/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29" t="n"/>
      <c r="M150" s="19">
        <f>IF(OR(D150="",D150=0),"",E150/D150)</f>
        <v/>
      </c>
      <c r="N150" s="19">
        <f>IF(OR(E150="",E150=0),"",F150/E150)</f>
        <v/>
      </c>
      <c r="O150" s="21">
        <f>IF(B150="","",VALUE(LEFT(B150,4)))</f>
        <v/>
      </c>
      <c r="P150" s="21">
        <f>IF(B150="","",VALUE(MID(B150,6,2)))</f>
        <v/>
      </c>
    </row>
    <row r="151" ht="20" customHeight="1">
      <c r="A151" s="21">
        <f>IF(B151="","",ROW()-3)</f>
        <v/>
      </c>
      <c r="B151" s="29" t="n"/>
      <c r="C151" s="29" t="n"/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29" t="n"/>
      <c r="M151" s="19">
        <f>IF(OR(D151="",D151=0),"",E151/D151)</f>
        <v/>
      </c>
      <c r="N151" s="19">
        <f>IF(OR(E151="",E151=0),"",F151/E151)</f>
        <v/>
      </c>
      <c r="O151" s="21">
        <f>IF(B151="","",VALUE(LEFT(B151,4)))</f>
        <v/>
      </c>
      <c r="P151" s="21">
        <f>IF(B151="","",VALUE(MID(B151,6,2)))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P151"/>
  <mergeCells count="2">
    <mergeCell ref="A2:N2"/>
    <mergeCell ref="A1:N1"/>
  </mergeCells>
  <conditionalFormatting sqref="M4:M151">
    <cfRule type="cellIs" priority="1" operator="lessThan" dxfId="10">
      <formula>0.6</formula>
    </cfRule>
    <cfRule type="cellIs" priority="2" operator="between" dxfId="11">
      <formula>0.6</formula>
      <formula>0.8</formula>
    </cfRule>
    <cfRule type="cellIs" priority="3" operator="greaterThanOrEqual" dxfId="12">
      <formula>0.8</formula>
    </cfRule>
  </conditionalFormatting>
  <dataValidations count="2">
    <dataValidation sqref="B4:B151" showDropDown="0" showInputMessage="0" showErrorMessage="0" allowBlank="1" type="custom">
      <formula1>AND(LEN(B4)=10,MID(B4,5,1)="/",MID(B4,8,1)="/")</formula1>
    </dataValidation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=RegionList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N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32" customWidth="1" min="7" max="7"/>
    <col width="8" customWidth="1" min="8" max="8"/>
    <col width="8" customWidth="1" min="9" max="9"/>
  </cols>
  <sheetData>
    <row r="1" ht="28" customHeight="1">
      <c r="A1" s="1" t="inlineStr">
        <is>
          <t>هزینه‌ها</t>
        </is>
      </c>
    </row>
    <row r="2" ht="20" customHeight="1">
      <c r="A2" s="22" t="inlineStr">
        <is>
          <t>هر هزینه یک ردیف. حقوق ماهانه را اول ماه بزنید. سوخت ماشین پخش جدا از برگه ویزیتور هم اینجا جمع می‌شود اگر وارد کنید.</t>
        </is>
      </c>
    </row>
    <row r="3" ht="28" customHeight="1">
      <c r="A3" s="3" t="inlineStr">
        <is>
          <t>ردیف</t>
        </is>
      </c>
      <c r="B3" s="3" t="inlineStr">
        <is>
          <t>تاریخ شمسی</t>
        </is>
      </c>
      <c r="C3" s="3" t="inlineStr">
        <is>
          <t>نوع هزینه</t>
        </is>
      </c>
      <c r="D3" s="3" t="inlineStr">
        <is>
          <t>مبلغ (تومان)</t>
        </is>
      </c>
      <c r="E3" s="3" t="inlineStr">
        <is>
          <t>پرداخت‌کننده</t>
        </is>
      </c>
      <c r="F3" s="3" t="inlineStr">
        <is>
          <t>روش پرداخت</t>
        </is>
      </c>
      <c r="G3" s="3" t="inlineStr">
        <is>
          <t>توضیحات</t>
        </is>
      </c>
      <c r="H3" s="3" t="inlineStr">
        <is>
          <t>سال</t>
        </is>
      </c>
      <c r="I3" s="3" t="inlineStr">
        <is>
          <t>ماه</t>
        </is>
      </c>
    </row>
    <row r="4">
      <c r="A4" s="21">
        <f>IF(B4="","",ROW()-3)</f>
        <v/>
      </c>
      <c r="B4" s="29" t="inlineStr">
        <is>
          <t>1405/06/01</t>
        </is>
      </c>
      <c r="C4" s="29" t="inlineStr">
        <is>
          <t>اجاره</t>
        </is>
      </c>
      <c r="D4" s="31" t="n">
        <v>4000000</v>
      </c>
      <c r="E4" s="29" t="inlineStr">
        <is>
          <t>مدیر کارگاه</t>
        </is>
      </c>
      <c r="F4" s="29" t="inlineStr">
        <is>
          <t>نقد</t>
        </is>
      </c>
      <c r="G4" s="29" t="inlineStr">
        <is>
          <t>اجاره سوله شهریور</t>
        </is>
      </c>
      <c r="H4" s="21">
        <f>IF(B4="","",VALUE(LEFT(B4,4)))</f>
        <v/>
      </c>
      <c r="I4" s="21">
        <f>IF(B4="","",VALUE(MID(B4,6,2)))</f>
        <v/>
      </c>
    </row>
    <row r="5">
      <c r="A5" s="21">
        <f>IF(B5="","",ROW()-3)</f>
        <v/>
      </c>
      <c r="B5" s="29" t="inlineStr">
        <is>
          <t>1405/06/01</t>
        </is>
      </c>
      <c r="C5" s="29" t="inlineStr">
        <is>
          <t>حقوق</t>
        </is>
      </c>
      <c r="D5" s="31" t="n">
        <v>18000000</v>
      </c>
      <c r="E5" s="29" t="inlineStr">
        <is>
          <t>مدیر کارگاه</t>
        </is>
      </c>
      <c r="F5" s="29" t="inlineStr">
        <is>
          <t>نقد</t>
        </is>
      </c>
      <c r="G5" s="29" t="inlineStr">
        <is>
          <t>حقوق مدیر</t>
        </is>
      </c>
      <c r="H5" s="21">
        <f>IF(B5="","",VALUE(LEFT(B5,4)))</f>
        <v/>
      </c>
      <c r="I5" s="21">
        <f>IF(B5="","",VALUE(MID(B5,6,2)))</f>
        <v/>
      </c>
    </row>
    <row r="6">
      <c r="A6" s="21">
        <f>IF(B6="","",ROW()-3)</f>
        <v/>
      </c>
      <c r="B6" s="29" t="inlineStr">
        <is>
          <t>1405/06/01</t>
        </is>
      </c>
      <c r="C6" s="29" t="inlineStr">
        <is>
          <t>حقوق</t>
        </is>
      </c>
      <c r="D6" s="31" t="n">
        <v>8000000</v>
      </c>
      <c r="E6" s="29" t="inlineStr">
        <is>
          <t>مدیر کارگاه</t>
        </is>
      </c>
      <c r="F6" s="29" t="inlineStr">
        <is>
          <t>نقد</t>
        </is>
      </c>
      <c r="G6" s="29" t="inlineStr">
        <is>
          <t>حقوق مسئول انبار</t>
        </is>
      </c>
      <c r="H6" s="21">
        <f>IF(B6="","",VALUE(LEFT(B6,4)))</f>
        <v/>
      </c>
      <c r="I6" s="21">
        <f>IF(B6="","",VALUE(MID(B6,6,2)))</f>
        <v/>
      </c>
    </row>
    <row r="7">
      <c r="A7" s="21">
        <f>IF(B7="","",ROW()-3)</f>
        <v/>
      </c>
      <c r="B7" s="29" t="inlineStr">
        <is>
          <t>1405/06/01</t>
        </is>
      </c>
      <c r="C7" s="29" t="inlineStr">
        <is>
          <t>حقوق</t>
        </is>
      </c>
      <c r="D7" s="31" t="n">
        <v>9000000</v>
      </c>
      <c r="E7" s="29" t="inlineStr">
        <is>
          <t>مدیر کارگاه</t>
        </is>
      </c>
      <c r="F7" s="29" t="inlineStr">
        <is>
          <t>نقد</t>
        </is>
      </c>
      <c r="G7" s="29" t="inlineStr">
        <is>
          <t>حقوق بسته‌بندی</t>
        </is>
      </c>
      <c r="H7" s="21">
        <f>IF(B7="","",VALUE(LEFT(B7,4)))</f>
        <v/>
      </c>
      <c r="I7" s="21">
        <f>IF(B7="","",VALUE(MID(B7,6,2)))</f>
        <v/>
      </c>
    </row>
    <row r="8">
      <c r="A8" s="21">
        <f>IF(B8="","",ROW()-3)</f>
        <v/>
      </c>
      <c r="B8" s="29" t="inlineStr">
        <is>
          <t>1405/06/01</t>
        </is>
      </c>
      <c r="C8" s="29" t="inlineStr">
        <is>
          <t>حقوق</t>
        </is>
      </c>
      <c r="D8" s="31" t="n">
        <v>10000000</v>
      </c>
      <c r="E8" s="29" t="inlineStr">
        <is>
          <t>مدیر کارگاه</t>
        </is>
      </c>
      <c r="F8" s="29" t="inlineStr">
        <is>
          <t>نقد</t>
        </is>
      </c>
      <c r="G8" s="29" t="inlineStr">
        <is>
          <t>حقوق ویزیتور — بدون پورسانت</t>
        </is>
      </c>
      <c r="H8" s="21">
        <f>IF(B8="","",VALUE(LEFT(B8,4)))</f>
        <v/>
      </c>
      <c r="I8" s="21">
        <f>IF(B8="","",VALUE(MID(B8,6,2)))</f>
        <v/>
      </c>
    </row>
    <row r="9">
      <c r="A9" s="21">
        <f>IF(B9="","",ROW()-3)</f>
        <v/>
      </c>
      <c r="B9" s="29" t="inlineStr">
        <is>
          <t>1405/06/05</t>
        </is>
      </c>
      <c r="C9" s="29" t="inlineStr">
        <is>
          <t>برق</t>
        </is>
      </c>
      <c r="D9" s="31" t="n">
        <v>1800000</v>
      </c>
      <c r="E9" s="29" t="inlineStr">
        <is>
          <t>پدر مدیر</t>
        </is>
      </c>
      <c r="F9" s="29" t="inlineStr">
        <is>
          <t>کارت</t>
        </is>
      </c>
      <c r="G9" s="29" t="inlineStr">
        <is>
          <t>قبض برق</t>
        </is>
      </c>
      <c r="H9" s="21">
        <f>IF(B9="","",VALUE(LEFT(B9,4)))</f>
        <v/>
      </c>
      <c r="I9" s="21">
        <f>IF(B9="","",VALUE(MID(B9,6,2)))</f>
        <v/>
      </c>
    </row>
    <row r="10">
      <c r="A10" s="21">
        <f>IF(B10="","",ROW()-3)</f>
        <v/>
      </c>
      <c r="B10" s="29" t="inlineStr">
        <is>
          <t>1405/06/08</t>
        </is>
      </c>
      <c r="C10" s="29" t="inlineStr">
        <is>
          <t>بسته‌بندی</t>
        </is>
      </c>
      <c r="D10" s="31" t="n">
        <v>3200000</v>
      </c>
      <c r="E10" s="29" t="inlineStr">
        <is>
          <t>مدیر کارگاه</t>
        </is>
      </c>
      <c r="F10" s="29" t="inlineStr">
        <is>
          <t>نقد</t>
        </is>
      </c>
      <c r="G10" s="29" t="inlineStr">
        <is>
          <t>نایلون و کارتن</t>
        </is>
      </c>
      <c r="H10" s="21">
        <f>IF(B10="","",VALUE(LEFT(B10,4)))</f>
        <v/>
      </c>
      <c r="I10" s="21">
        <f>IF(B10="","",VALUE(MID(B10,6,2)))</f>
        <v/>
      </c>
    </row>
    <row r="11">
      <c r="A11" s="21">
        <f>IF(B11="","",ROW()-3)</f>
        <v/>
      </c>
      <c r="B11" s="29" t="inlineStr">
        <is>
          <t>1405/06/12</t>
        </is>
      </c>
      <c r="C11" s="29" t="inlineStr">
        <is>
          <t>تعمیرات</t>
        </is>
      </c>
      <c r="D11" s="31" t="n">
        <v>750000</v>
      </c>
      <c r="E11" s="29" t="inlineStr">
        <is>
          <t>پدر مدیر</t>
        </is>
      </c>
      <c r="F11" s="29" t="inlineStr">
        <is>
          <t>نقد</t>
        </is>
      </c>
      <c r="G11" s="29" t="inlineStr">
        <is>
          <t>تنظیم ترازو</t>
        </is>
      </c>
      <c r="H11" s="21">
        <f>IF(B11="","",VALUE(LEFT(B11,4)))</f>
        <v/>
      </c>
      <c r="I11" s="21">
        <f>IF(B11="","",VALUE(MID(B11,6,2)))</f>
        <v/>
      </c>
    </row>
    <row r="12">
      <c r="A12" s="21">
        <f>IF(B12="","",ROW()-3)</f>
        <v/>
      </c>
      <c r="B12" s="29" t="inlineStr">
        <is>
          <t>1405/06/15</t>
        </is>
      </c>
      <c r="C12" s="29" t="inlineStr">
        <is>
          <t>گاز</t>
        </is>
      </c>
      <c r="D12" s="31" t="n">
        <v>600000</v>
      </c>
      <c r="E12" s="29" t="inlineStr">
        <is>
          <t>پدر مدیر</t>
        </is>
      </c>
      <c r="F12" s="29" t="inlineStr">
        <is>
          <t>کارت</t>
        </is>
      </c>
      <c r="G12" s="29" t="inlineStr"/>
      <c r="H12" s="21">
        <f>IF(B12="","",VALUE(LEFT(B12,4)))</f>
        <v/>
      </c>
      <c r="I12" s="21">
        <f>IF(B12="","",VALUE(MID(B12,6,2)))</f>
        <v/>
      </c>
    </row>
    <row r="13">
      <c r="A13" s="21">
        <f>IF(B13="","",ROW()-3)</f>
        <v/>
      </c>
      <c r="B13" s="29" t="inlineStr">
        <is>
          <t>1405/06/16</t>
        </is>
      </c>
      <c r="C13" s="29" t="inlineStr">
        <is>
          <t>سوخت</t>
        </is>
      </c>
      <c r="D13" s="31" t="n">
        <v>1400000</v>
      </c>
      <c r="E13" s="29" t="inlineStr">
        <is>
          <t>ویزیتور پخش</t>
        </is>
      </c>
      <c r="F13" s="29" t="inlineStr">
        <is>
          <t>نقد</t>
        </is>
      </c>
      <c r="G13" s="29" t="inlineStr">
        <is>
          <t>باک ماشین پخش</t>
        </is>
      </c>
      <c r="H13" s="21">
        <f>IF(B13="","",VALUE(LEFT(B13,4)))</f>
        <v/>
      </c>
      <c r="I13" s="21">
        <f>IF(B13="","",VALUE(MID(B13,6,2)))</f>
        <v/>
      </c>
    </row>
    <row r="14">
      <c r="A14" s="21">
        <f>IF(B14="","",ROW()-3)</f>
        <v/>
      </c>
      <c r="B14" s="29" t="inlineStr">
        <is>
          <t>1405/06/18</t>
        </is>
      </c>
      <c r="C14" s="29" t="inlineStr">
        <is>
          <t>آب</t>
        </is>
      </c>
      <c r="D14" s="31" t="n">
        <v>250000</v>
      </c>
      <c r="E14" s="29" t="inlineStr">
        <is>
          <t>پدر مدیر</t>
        </is>
      </c>
      <c r="F14" s="29" t="inlineStr">
        <is>
          <t>کارت</t>
        </is>
      </c>
      <c r="G14" s="29" t="inlineStr"/>
      <c r="H14" s="21">
        <f>IF(B14="","",VALUE(LEFT(B14,4)))</f>
        <v/>
      </c>
      <c r="I14" s="21">
        <f>IF(B14="","",VALUE(MID(B14,6,2)))</f>
        <v/>
      </c>
    </row>
    <row r="15">
      <c r="A15" s="21">
        <f>IF(B15="","",ROW()-3)</f>
        <v/>
      </c>
      <c r="B15" s="29" t="n"/>
      <c r="C15" s="29" t="n"/>
      <c r="D15" s="31" t="n"/>
      <c r="E15" s="29" t="n"/>
      <c r="F15" s="29" t="n"/>
      <c r="G15" s="29" t="n"/>
      <c r="H15" s="21">
        <f>IF(B15="","",VALUE(LEFT(B15,4)))</f>
        <v/>
      </c>
      <c r="I15" s="21">
        <f>IF(B15="","",VALUE(MID(B15,6,2)))</f>
        <v/>
      </c>
    </row>
    <row r="16">
      <c r="A16" s="21">
        <f>IF(B16="","",ROW()-3)</f>
        <v/>
      </c>
      <c r="B16" s="29" t="n"/>
      <c r="C16" s="29" t="n"/>
      <c r="D16" s="31" t="n"/>
      <c r="E16" s="29" t="n"/>
      <c r="F16" s="29" t="n"/>
      <c r="G16" s="29" t="n"/>
      <c r="H16" s="21">
        <f>IF(B16="","",VALUE(LEFT(B16,4)))</f>
        <v/>
      </c>
      <c r="I16" s="21">
        <f>IF(B16="","",VALUE(MID(B16,6,2)))</f>
        <v/>
      </c>
    </row>
    <row r="17">
      <c r="A17" s="21">
        <f>IF(B17="","",ROW()-3)</f>
        <v/>
      </c>
      <c r="B17" s="29" t="n"/>
      <c r="C17" s="29" t="n"/>
      <c r="D17" s="31" t="n"/>
      <c r="E17" s="29" t="n"/>
      <c r="F17" s="29" t="n"/>
      <c r="G17" s="29" t="n"/>
      <c r="H17" s="21">
        <f>IF(B17="","",VALUE(LEFT(B17,4)))</f>
        <v/>
      </c>
      <c r="I17" s="21">
        <f>IF(B17="","",VALUE(MID(B17,6,2)))</f>
        <v/>
      </c>
    </row>
    <row r="18">
      <c r="A18" s="21">
        <f>IF(B18="","",ROW()-3)</f>
        <v/>
      </c>
      <c r="B18" s="29" t="n"/>
      <c r="C18" s="29" t="n"/>
      <c r="D18" s="31" t="n"/>
      <c r="E18" s="29" t="n"/>
      <c r="F18" s="29" t="n"/>
      <c r="G18" s="29" t="n"/>
      <c r="H18" s="21">
        <f>IF(B18="","",VALUE(LEFT(B18,4)))</f>
        <v/>
      </c>
      <c r="I18" s="21">
        <f>IF(B18="","",VALUE(MID(B18,6,2)))</f>
        <v/>
      </c>
    </row>
    <row r="19">
      <c r="A19" s="21">
        <f>IF(B19="","",ROW()-3)</f>
        <v/>
      </c>
      <c r="B19" s="29" t="n"/>
      <c r="C19" s="29" t="n"/>
      <c r="D19" s="31" t="n"/>
      <c r="E19" s="29" t="n"/>
      <c r="F19" s="29" t="n"/>
      <c r="G19" s="29" t="n"/>
      <c r="H19" s="21">
        <f>IF(B19="","",VALUE(LEFT(B19,4)))</f>
        <v/>
      </c>
      <c r="I19" s="21">
        <f>IF(B19="","",VALUE(MID(B19,6,2)))</f>
        <v/>
      </c>
    </row>
    <row r="20">
      <c r="A20" s="21">
        <f>IF(B20="","",ROW()-3)</f>
        <v/>
      </c>
      <c r="B20" s="29" t="n"/>
      <c r="C20" s="29" t="n"/>
      <c r="D20" s="31" t="n"/>
      <c r="E20" s="29" t="n"/>
      <c r="F20" s="29" t="n"/>
      <c r="G20" s="29" t="n"/>
      <c r="H20" s="21">
        <f>IF(B20="","",VALUE(LEFT(B20,4)))</f>
        <v/>
      </c>
      <c r="I20" s="21">
        <f>IF(B20="","",VALUE(MID(B20,6,2)))</f>
        <v/>
      </c>
    </row>
    <row r="21">
      <c r="A21" s="21">
        <f>IF(B21="","",ROW()-3)</f>
        <v/>
      </c>
      <c r="B21" s="29" t="n"/>
      <c r="C21" s="29" t="n"/>
      <c r="D21" s="31" t="n"/>
      <c r="E21" s="29" t="n"/>
      <c r="F21" s="29" t="n"/>
      <c r="G21" s="29" t="n"/>
      <c r="H21" s="21">
        <f>IF(B21="","",VALUE(LEFT(B21,4)))</f>
        <v/>
      </c>
      <c r="I21" s="21">
        <f>IF(B21="","",VALUE(MID(B21,6,2)))</f>
        <v/>
      </c>
    </row>
    <row r="22">
      <c r="A22" s="21">
        <f>IF(B22="","",ROW()-3)</f>
        <v/>
      </c>
      <c r="B22" s="29" t="n"/>
      <c r="C22" s="29" t="n"/>
      <c r="D22" s="31" t="n"/>
      <c r="E22" s="29" t="n"/>
      <c r="F22" s="29" t="n"/>
      <c r="G22" s="29" t="n"/>
      <c r="H22" s="21">
        <f>IF(B22="","",VALUE(LEFT(B22,4)))</f>
        <v/>
      </c>
      <c r="I22" s="21">
        <f>IF(B22="","",VALUE(MID(B22,6,2)))</f>
        <v/>
      </c>
    </row>
    <row r="23">
      <c r="A23" s="21">
        <f>IF(B23="","",ROW()-3)</f>
        <v/>
      </c>
      <c r="B23" s="29" t="n"/>
      <c r="C23" s="29" t="n"/>
      <c r="D23" s="31" t="n"/>
      <c r="E23" s="29" t="n"/>
      <c r="F23" s="29" t="n"/>
      <c r="G23" s="29" t="n"/>
      <c r="H23" s="21">
        <f>IF(B23="","",VALUE(LEFT(B23,4)))</f>
        <v/>
      </c>
      <c r="I23" s="21">
        <f>IF(B23="","",VALUE(MID(B23,6,2)))</f>
        <v/>
      </c>
    </row>
    <row r="24">
      <c r="A24" s="21">
        <f>IF(B24="","",ROW()-3)</f>
        <v/>
      </c>
      <c r="B24" s="29" t="n"/>
      <c r="C24" s="29" t="n"/>
      <c r="D24" s="31" t="n"/>
      <c r="E24" s="29" t="n"/>
      <c r="F24" s="29" t="n"/>
      <c r="G24" s="29" t="n"/>
      <c r="H24" s="21">
        <f>IF(B24="","",VALUE(LEFT(B24,4)))</f>
        <v/>
      </c>
      <c r="I24" s="21">
        <f>IF(B24="","",VALUE(MID(B24,6,2)))</f>
        <v/>
      </c>
    </row>
    <row r="25">
      <c r="A25" s="21">
        <f>IF(B25="","",ROW()-3)</f>
        <v/>
      </c>
      <c r="B25" s="29" t="n"/>
      <c r="C25" s="29" t="n"/>
      <c r="D25" s="31" t="n"/>
      <c r="E25" s="29" t="n"/>
      <c r="F25" s="29" t="n"/>
      <c r="G25" s="29" t="n"/>
      <c r="H25" s="21">
        <f>IF(B25="","",VALUE(LEFT(B25,4)))</f>
        <v/>
      </c>
      <c r="I25" s="21">
        <f>IF(B25="","",VALUE(MID(B25,6,2)))</f>
        <v/>
      </c>
    </row>
    <row r="26">
      <c r="A26" s="21">
        <f>IF(B26="","",ROW()-3)</f>
        <v/>
      </c>
      <c r="B26" s="29" t="n"/>
      <c r="C26" s="29" t="n"/>
      <c r="D26" s="31" t="n"/>
      <c r="E26" s="29" t="n"/>
      <c r="F26" s="29" t="n"/>
      <c r="G26" s="29" t="n"/>
      <c r="H26" s="21">
        <f>IF(B26="","",VALUE(LEFT(B26,4)))</f>
        <v/>
      </c>
      <c r="I26" s="21">
        <f>IF(B26="","",VALUE(MID(B26,6,2)))</f>
        <v/>
      </c>
    </row>
    <row r="27">
      <c r="A27" s="21">
        <f>IF(B27="","",ROW()-3)</f>
        <v/>
      </c>
      <c r="B27" s="29" t="n"/>
      <c r="C27" s="29" t="n"/>
      <c r="D27" s="31" t="n"/>
      <c r="E27" s="29" t="n"/>
      <c r="F27" s="29" t="n"/>
      <c r="G27" s="29" t="n"/>
      <c r="H27" s="21">
        <f>IF(B27="","",VALUE(LEFT(B27,4)))</f>
        <v/>
      </c>
      <c r="I27" s="21">
        <f>IF(B27="","",VALUE(MID(B27,6,2)))</f>
        <v/>
      </c>
    </row>
    <row r="28">
      <c r="A28" s="21">
        <f>IF(B28="","",ROW()-3)</f>
        <v/>
      </c>
      <c r="B28" s="29" t="n"/>
      <c r="C28" s="29" t="n"/>
      <c r="D28" s="31" t="n"/>
      <c r="E28" s="29" t="n"/>
      <c r="F28" s="29" t="n"/>
      <c r="G28" s="29" t="n"/>
      <c r="H28" s="21">
        <f>IF(B28="","",VALUE(LEFT(B28,4)))</f>
        <v/>
      </c>
      <c r="I28" s="21">
        <f>IF(B28="","",VALUE(MID(B28,6,2)))</f>
        <v/>
      </c>
    </row>
    <row r="29">
      <c r="A29" s="21">
        <f>IF(B29="","",ROW()-3)</f>
        <v/>
      </c>
      <c r="B29" s="29" t="n"/>
      <c r="C29" s="29" t="n"/>
      <c r="D29" s="31" t="n"/>
      <c r="E29" s="29" t="n"/>
      <c r="F29" s="29" t="n"/>
      <c r="G29" s="29" t="n"/>
      <c r="H29" s="21">
        <f>IF(B29="","",VALUE(LEFT(B29,4)))</f>
        <v/>
      </c>
      <c r="I29" s="21">
        <f>IF(B29="","",VALUE(MID(B29,6,2)))</f>
        <v/>
      </c>
    </row>
    <row r="30">
      <c r="A30" s="21">
        <f>IF(B30="","",ROW()-3)</f>
        <v/>
      </c>
      <c r="B30" s="29" t="n"/>
      <c r="C30" s="29" t="n"/>
      <c r="D30" s="31" t="n"/>
      <c r="E30" s="29" t="n"/>
      <c r="F30" s="29" t="n"/>
      <c r="G30" s="29" t="n"/>
      <c r="H30" s="21">
        <f>IF(B30="","",VALUE(LEFT(B30,4)))</f>
        <v/>
      </c>
      <c r="I30" s="21">
        <f>IF(B30="","",VALUE(MID(B30,6,2)))</f>
        <v/>
      </c>
    </row>
    <row r="31">
      <c r="A31" s="21">
        <f>IF(B31="","",ROW()-3)</f>
        <v/>
      </c>
      <c r="B31" s="29" t="n"/>
      <c r="C31" s="29" t="n"/>
      <c r="D31" s="31" t="n"/>
      <c r="E31" s="29" t="n"/>
      <c r="F31" s="29" t="n"/>
      <c r="G31" s="29" t="n"/>
      <c r="H31" s="21">
        <f>IF(B31="","",VALUE(LEFT(B31,4)))</f>
        <v/>
      </c>
      <c r="I31" s="21">
        <f>IF(B31="","",VALUE(MID(B31,6,2)))</f>
        <v/>
      </c>
    </row>
    <row r="32">
      <c r="A32" s="21">
        <f>IF(B32="","",ROW()-3)</f>
        <v/>
      </c>
      <c r="B32" s="29" t="n"/>
      <c r="C32" s="29" t="n"/>
      <c r="D32" s="31" t="n"/>
      <c r="E32" s="29" t="n"/>
      <c r="F32" s="29" t="n"/>
      <c r="G32" s="29" t="n"/>
      <c r="H32" s="21">
        <f>IF(B32="","",VALUE(LEFT(B32,4)))</f>
        <v/>
      </c>
      <c r="I32" s="21">
        <f>IF(B32="","",VALUE(MID(B32,6,2)))</f>
        <v/>
      </c>
    </row>
    <row r="33">
      <c r="A33" s="21">
        <f>IF(B33="","",ROW()-3)</f>
        <v/>
      </c>
      <c r="B33" s="29" t="n"/>
      <c r="C33" s="29" t="n"/>
      <c r="D33" s="31" t="n"/>
      <c r="E33" s="29" t="n"/>
      <c r="F33" s="29" t="n"/>
      <c r="G33" s="29" t="n"/>
      <c r="H33" s="21">
        <f>IF(B33="","",VALUE(LEFT(B33,4)))</f>
        <v/>
      </c>
      <c r="I33" s="21">
        <f>IF(B33="","",VALUE(MID(B33,6,2)))</f>
        <v/>
      </c>
    </row>
    <row r="34">
      <c r="A34" s="21">
        <f>IF(B34="","",ROW()-3)</f>
        <v/>
      </c>
      <c r="B34" s="29" t="n"/>
      <c r="C34" s="29" t="n"/>
      <c r="D34" s="31" t="n"/>
      <c r="E34" s="29" t="n"/>
      <c r="F34" s="29" t="n"/>
      <c r="G34" s="29" t="n"/>
      <c r="H34" s="21">
        <f>IF(B34="","",VALUE(LEFT(B34,4)))</f>
        <v/>
      </c>
      <c r="I34" s="21">
        <f>IF(B34="","",VALUE(MID(B34,6,2)))</f>
        <v/>
      </c>
    </row>
    <row r="35">
      <c r="A35" s="21">
        <f>IF(B35="","",ROW()-3)</f>
        <v/>
      </c>
      <c r="B35" s="29" t="n"/>
      <c r="C35" s="29" t="n"/>
      <c r="D35" s="31" t="n"/>
      <c r="E35" s="29" t="n"/>
      <c r="F35" s="29" t="n"/>
      <c r="G35" s="29" t="n"/>
      <c r="H35" s="21">
        <f>IF(B35="","",VALUE(LEFT(B35,4)))</f>
        <v/>
      </c>
      <c r="I35" s="21">
        <f>IF(B35="","",VALUE(MID(B35,6,2)))</f>
        <v/>
      </c>
    </row>
    <row r="36">
      <c r="A36" s="21">
        <f>IF(B36="","",ROW()-3)</f>
        <v/>
      </c>
      <c r="B36" s="29" t="n"/>
      <c r="C36" s="29" t="n"/>
      <c r="D36" s="31" t="n"/>
      <c r="E36" s="29" t="n"/>
      <c r="F36" s="29" t="n"/>
      <c r="G36" s="29" t="n"/>
      <c r="H36" s="21">
        <f>IF(B36="","",VALUE(LEFT(B36,4)))</f>
        <v/>
      </c>
      <c r="I36" s="21">
        <f>IF(B36="","",VALUE(MID(B36,6,2)))</f>
        <v/>
      </c>
    </row>
    <row r="37">
      <c r="A37" s="21">
        <f>IF(B37="","",ROW()-3)</f>
        <v/>
      </c>
      <c r="B37" s="29" t="n"/>
      <c r="C37" s="29" t="n"/>
      <c r="D37" s="31" t="n"/>
      <c r="E37" s="29" t="n"/>
      <c r="F37" s="29" t="n"/>
      <c r="G37" s="29" t="n"/>
      <c r="H37" s="21">
        <f>IF(B37="","",VALUE(LEFT(B37,4)))</f>
        <v/>
      </c>
      <c r="I37" s="21">
        <f>IF(B37="","",VALUE(MID(B37,6,2)))</f>
        <v/>
      </c>
    </row>
    <row r="38">
      <c r="A38" s="21">
        <f>IF(B38="","",ROW()-3)</f>
        <v/>
      </c>
      <c r="B38" s="29" t="n"/>
      <c r="C38" s="29" t="n"/>
      <c r="D38" s="31" t="n"/>
      <c r="E38" s="29" t="n"/>
      <c r="F38" s="29" t="n"/>
      <c r="G38" s="29" t="n"/>
      <c r="H38" s="21">
        <f>IF(B38="","",VALUE(LEFT(B38,4)))</f>
        <v/>
      </c>
      <c r="I38" s="21">
        <f>IF(B38="","",VALUE(MID(B38,6,2)))</f>
        <v/>
      </c>
    </row>
    <row r="39">
      <c r="A39" s="21">
        <f>IF(B39="","",ROW()-3)</f>
        <v/>
      </c>
      <c r="B39" s="29" t="n"/>
      <c r="C39" s="29" t="n"/>
      <c r="D39" s="31" t="n"/>
      <c r="E39" s="29" t="n"/>
      <c r="F39" s="29" t="n"/>
      <c r="G39" s="29" t="n"/>
      <c r="H39" s="21">
        <f>IF(B39="","",VALUE(LEFT(B39,4)))</f>
        <v/>
      </c>
      <c r="I39" s="21">
        <f>IF(B39="","",VALUE(MID(B39,6,2)))</f>
        <v/>
      </c>
    </row>
    <row r="40">
      <c r="A40" s="21">
        <f>IF(B40="","",ROW()-3)</f>
        <v/>
      </c>
      <c r="B40" s="29" t="n"/>
      <c r="C40" s="29" t="n"/>
      <c r="D40" s="31" t="n"/>
      <c r="E40" s="29" t="n"/>
      <c r="F40" s="29" t="n"/>
      <c r="G40" s="29" t="n"/>
      <c r="H40" s="21">
        <f>IF(B40="","",VALUE(LEFT(B40,4)))</f>
        <v/>
      </c>
      <c r="I40" s="21">
        <f>IF(B40="","",VALUE(MID(B40,6,2)))</f>
        <v/>
      </c>
    </row>
    <row r="41">
      <c r="A41" s="21">
        <f>IF(B41="","",ROW()-3)</f>
        <v/>
      </c>
      <c r="B41" s="29" t="n"/>
      <c r="C41" s="29" t="n"/>
      <c r="D41" s="31" t="n"/>
      <c r="E41" s="29" t="n"/>
      <c r="F41" s="29" t="n"/>
      <c r="G41" s="29" t="n"/>
      <c r="H41" s="21">
        <f>IF(B41="","",VALUE(LEFT(B41,4)))</f>
        <v/>
      </c>
      <c r="I41" s="21">
        <f>IF(B41="","",VALUE(MID(B41,6,2)))</f>
        <v/>
      </c>
    </row>
    <row r="42">
      <c r="A42" s="21">
        <f>IF(B42="","",ROW()-3)</f>
        <v/>
      </c>
      <c r="B42" s="29" t="n"/>
      <c r="C42" s="29" t="n"/>
      <c r="D42" s="31" t="n"/>
      <c r="E42" s="29" t="n"/>
      <c r="F42" s="29" t="n"/>
      <c r="G42" s="29" t="n"/>
      <c r="H42" s="21">
        <f>IF(B42="","",VALUE(LEFT(B42,4)))</f>
        <v/>
      </c>
      <c r="I42" s="21">
        <f>IF(B42="","",VALUE(MID(B42,6,2)))</f>
        <v/>
      </c>
    </row>
    <row r="43">
      <c r="A43" s="21">
        <f>IF(B43="","",ROW()-3)</f>
        <v/>
      </c>
      <c r="B43" s="29" t="n"/>
      <c r="C43" s="29" t="n"/>
      <c r="D43" s="31" t="n"/>
      <c r="E43" s="29" t="n"/>
      <c r="F43" s="29" t="n"/>
      <c r="G43" s="29" t="n"/>
      <c r="H43" s="21">
        <f>IF(B43="","",VALUE(LEFT(B43,4)))</f>
        <v/>
      </c>
      <c r="I43" s="21">
        <f>IF(B43="","",VALUE(MID(B43,6,2)))</f>
        <v/>
      </c>
    </row>
    <row r="44">
      <c r="A44" s="21">
        <f>IF(B44="","",ROW()-3)</f>
        <v/>
      </c>
      <c r="B44" s="29" t="n"/>
      <c r="C44" s="29" t="n"/>
      <c r="D44" s="31" t="n"/>
      <c r="E44" s="29" t="n"/>
      <c r="F44" s="29" t="n"/>
      <c r="G44" s="29" t="n"/>
      <c r="H44" s="21">
        <f>IF(B44="","",VALUE(LEFT(B44,4)))</f>
        <v/>
      </c>
      <c r="I44" s="21">
        <f>IF(B44="","",VALUE(MID(B44,6,2)))</f>
        <v/>
      </c>
    </row>
    <row r="45">
      <c r="A45" s="21">
        <f>IF(B45="","",ROW()-3)</f>
        <v/>
      </c>
      <c r="B45" s="29" t="n"/>
      <c r="C45" s="29" t="n"/>
      <c r="D45" s="31" t="n"/>
      <c r="E45" s="29" t="n"/>
      <c r="F45" s="29" t="n"/>
      <c r="G45" s="29" t="n"/>
      <c r="H45" s="21">
        <f>IF(B45="","",VALUE(LEFT(B45,4)))</f>
        <v/>
      </c>
      <c r="I45" s="21">
        <f>IF(B45="","",VALUE(MID(B45,6,2)))</f>
        <v/>
      </c>
    </row>
    <row r="46">
      <c r="A46" s="21">
        <f>IF(B46="","",ROW()-3)</f>
        <v/>
      </c>
      <c r="B46" s="29" t="n"/>
      <c r="C46" s="29" t="n"/>
      <c r="D46" s="31" t="n"/>
      <c r="E46" s="29" t="n"/>
      <c r="F46" s="29" t="n"/>
      <c r="G46" s="29" t="n"/>
      <c r="H46" s="21">
        <f>IF(B46="","",VALUE(LEFT(B46,4)))</f>
        <v/>
      </c>
      <c r="I46" s="21">
        <f>IF(B46="","",VALUE(MID(B46,6,2)))</f>
        <v/>
      </c>
    </row>
    <row r="47">
      <c r="A47" s="21">
        <f>IF(B47="","",ROW()-3)</f>
        <v/>
      </c>
      <c r="B47" s="29" t="n"/>
      <c r="C47" s="29" t="n"/>
      <c r="D47" s="31" t="n"/>
      <c r="E47" s="29" t="n"/>
      <c r="F47" s="29" t="n"/>
      <c r="G47" s="29" t="n"/>
      <c r="H47" s="21">
        <f>IF(B47="","",VALUE(LEFT(B47,4)))</f>
        <v/>
      </c>
      <c r="I47" s="21">
        <f>IF(B47="","",VALUE(MID(B47,6,2)))</f>
        <v/>
      </c>
    </row>
    <row r="48">
      <c r="A48" s="21">
        <f>IF(B48="","",ROW()-3)</f>
        <v/>
      </c>
      <c r="B48" s="29" t="n"/>
      <c r="C48" s="29" t="n"/>
      <c r="D48" s="31" t="n"/>
      <c r="E48" s="29" t="n"/>
      <c r="F48" s="29" t="n"/>
      <c r="G48" s="29" t="n"/>
      <c r="H48" s="21">
        <f>IF(B48="","",VALUE(LEFT(B48,4)))</f>
        <v/>
      </c>
      <c r="I48" s="21">
        <f>IF(B48="","",VALUE(MID(B48,6,2)))</f>
        <v/>
      </c>
    </row>
    <row r="49">
      <c r="A49" s="21">
        <f>IF(B49="","",ROW()-3)</f>
        <v/>
      </c>
      <c r="B49" s="29" t="n"/>
      <c r="C49" s="29" t="n"/>
      <c r="D49" s="31" t="n"/>
      <c r="E49" s="29" t="n"/>
      <c r="F49" s="29" t="n"/>
      <c r="G49" s="29" t="n"/>
      <c r="H49" s="21">
        <f>IF(B49="","",VALUE(LEFT(B49,4)))</f>
        <v/>
      </c>
      <c r="I49" s="21">
        <f>IF(B49="","",VALUE(MID(B49,6,2)))</f>
        <v/>
      </c>
    </row>
    <row r="50">
      <c r="A50" s="21">
        <f>IF(B50="","",ROW()-3)</f>
        <v/>
      </c>
      <c r="B50" s="29" t="n"/>
      <c r="C50" s="29" t="n"/>
      <c r="D50" s="31" t="n"/>
      <c r="E50" s="29" t="n"/>
      <c r="F50" s="29" t="n"/>
      <c r="G50" s="29" t="n"/>
      <c r="H50" s="21">
        <f>IF(B50="","",VALUE(LEFT(B50,4)))</f>
        <v/>
      </c>
      <c r="I50" s="21">
        <f>IF(B50="","",VALUE(MID(B50,6,2)))</f>
        <v/>
      </c>
    </row>
    <row r="51">
      <c r="A51" s="21">
        <f>IF(B51="","",ROW()-3)</f>
        <v/>
      </c>
      <c r="B51" s="29" t="n"/>
      <c r="C51" s="29" t="n"/>
      <c r="D51" s="31" t="n"/>
      <c r="E51" s="29" t="n"/>
      <c r="F51" s="29" t="n"/>
      <c r="G51" s="29" t="n"/>
      <c r="H51" s="21">
        <f>IF(B51="","",VALUE(LEFT(B51,4)))</f>
        <v/>
      </c>
      <c r="I51" s="21">
        <f>IF(B51="","",VALUE(MID(B51,6,2)))</f>
        <v/>
      </c>
    </row>
    <row r="52">
      <c r="A52" s="21">
        <f>IF(B52="","",ROW()-3)</f>
        <v/>
      </c>
      <c r="B52" s="29" t="n"/>
      <c r="C52" s="29" t="n"/>
      <c r="D52" s="31" t="n"/>
      <c r="E52" s="29" t="n"/>
      <c r="F52" s="29" t="n"/>
      <c r="G52" s="29" t="n"/>
      <c r="H52" s="21">
        <f>IF(B52="","",VALUE(LEFT(B52,4)))</f>
        <v/>
      </c>
      <c r="I52" s="21">
        <f>IF(B52="","",VALUE(MID(B52,6,2)))</f>
        <v/>
      </c>
    </row>
    <row r="53">
      <c r="A53" s="21">
        <f>IF(B53="","",ROW()-3)</f>
        <v/>
      </c>
      <c r="B53" s="29" t="n"/>
      <c r="C53" s="29" t="n"/>
      <c r="D53" s="31" t="n"/>
      <c r="E53" s="29" t="n"/>
      <c r="F53" s="29" t="n"/>
      <c r="G53" s="29" t="n"/>
      <c r="H53" s="21">
        <f>IF(B53="","",VALUE(LEFT(B53,4)))</f>
        <v/>
      </c>
      <c r="I53" s="21">
        <f>IF(B53="","",VALUE(MID(B53,6,2)))</f>
        <v/>
      </c>
    </row>
    <row r="54">
      <c r="A54" s="21">
        <f>IF(B54="","",ROW()-3)</f>
        <v/>
      </c>
      <c r="B54" s="29" t="n"/>
      <c r="C54" s="29" t="n"/>
      <c r="D54" s="31" t="n"/>
      <c r="E54" s="29" t="n"/>
      <c r="F54" s="29" t="n"/>
      <c r="G54" s="29" t="n"/>
      <c r="H54" s="21">
        <f>IF(B54="","",VALUE(LEFT(B54,4)))</f>
        <v/>
      </c>
      <c r="I54" s="21">
        <f>IF(B54="","",VALUE(MID(B54,6,2)))</f>
        <v/>
      </c>
    </row>
    <row r="55">
      <c r="A55" s="21">
        <f>IF(B55="","",ROW()-3)</f>
        <v/>
      </c>
      <c r="B55" s="29" t="n"/>
      <c r="C55" s="29" t="n"/>
      <c r="D55" s="31" t="n"/>
      <c r="E55" s="29" t="n"/>
      <c r="F55" s="29" t="n"/>
      <c r="G55" s="29" t="n"/>
      <c r="H55" s="21">
        <f>IF(B55="","",VALUE(LEFT(B55,4)))</f>
        <v/>
      </c>
      <c r="I55" s="21">
        <f>IF(B55="","",VALUE(MID(B55,6,2)))</f>
        <v/>
      </c>
    </row>
    <row r="56">
      <c r="A56" s="21">
        <f>IF(B56="","",ROW()-3)</f>
        <v/>
      </c>
      <c r="B56" s="29" t="n"/>
      <c r="C56" s="29" t="n"/>
      <c r="D56" s="31" t="n"/>
      <c r="E56" s="29" t="n"/>
      <c r="F56" s="29" t="n"/>
      <c r="G56" s="29" t="n"/>
      <c r="H56" s="21">
        <f>IF(B56="","",VALUE(LEFT(B56,4)))</f>
        <v/>
      </c>
      <c r="I56" s="21">
        <f>IF(B56="","",VALUE(MID(B56,6,2)))</f>
        <v/>
      </c>
    </row>
    <row r="57">
      <c r="A57" s="21">
        <f>IF(B57="","",ROW()-3)</f>
        <v/>
      </c>
      <c r="B57" s="29" t="n"/>
      <c r="C57" s="29" t="n"/>
      <c r="D57" s="31" t="n"/>
      <c r="E57" s="29" t="n"/>
      <c r="F57" s="29" t="n"/>
      <c r="G57" s="29" t="n"/>
      <c r="H57" s="21">
        <f>IF(B57="","",VALUE(LEFT(B57,4)))</f>
        <v/>
      </c>
      <c r="I57" s="21">
        <f>IF(B57="","",VALUE(MID(B57,6,2)))</f>
        <v/>
      </c>
    </row>
    <row r="58">
      <c r="A58" s="21">
        <f>IF(B58="","",ROW()-3)</f>
        <v/>
      </c>
      <c r="B58" s="29" t="n"/>
      <c r="C58" s="29" t="n"/>
      <c r="D58" s="31" t="n"/>
      <c r="E58" s="29" t="n"/>
      <c r="F58" s="29" t="n"/>
      <c r="G58" s="29" t="n"/>
      <c r="H58" s="21">
        <f>IF(B58="","",VALUE(LEFT(B58,4)))</f>
        <v/>
      </c>
      <c r="I58" s="21">
        <f>IF(B58="","",VALUE(MID(B58,6,2)))</f>
        <v/>
      </c>
    </row>
    <row r="59">
      <c r="A59" s="21">
        <f>IF(B59="","",ROW()-3)</f>
        <v/>
      </c>
      <c r="B59" s="29" t="n"/>
      <c r="C59" s="29" t="n"/>
      <c r="D59" s="31" t="n"/>
      <c r="E59" s="29" t="n"/>
      <c r="F59" s="29" t="n"/>
      <c r="G59" s="29" t="n"/>
      <c r="H59" s="21">
        <f>IF(B59="","",VALUE(LEFT(B59,4)))</f>
        <v/>
      </c>
      <c r="I59" s="21">
        <f>IF(B59="","",VALUE(MID(B59,6,2)))</f>
        <v/>
      </c>
    </row>
    <row r="60">
      <c r="A60" s="21">
        <f>IF(B60="","",ROW()-3)</f>
        <v/>
      </c>
      <c r="B60" s="29" t="n"/>
      <c r="C60" s="29" t="n"/>
      <c r="D60" s="31" t="n"/>
      <c r="E60" s="29" t="n"/>
      <c r="F60" s="29" t="n"/>
      <c r="G60" s="29" t="n"/>
      <c r="H60" s="21">
        <f>IF(B60="","",VALUE(LEFT(B60,4)))</f>
        <v/>
      </c>
      <c r="I60" s="21">
        <f>IF(B60="","",VALUE(MID(B60,6,2)))</f>
        <v/>
      </c>
    </row>
    <row r="61">
      <c r="A61" s="21">
        <f>IF(B61="","",ROW()-3)</f>
        <v/>
      </c>
      <c r="B61" s="29" t="n"/>
      <c r="C61" s="29" t="n"/>
      <c r="D61" s="31" t="n"/>
      <c r="E61" s="29" t="n"/>
      <c r="F61" s="29" t="n"/>
      <c r="G61" s="29" t="n"/>
      <c r="H61" s="21">
        <f>IF(B61="","",VALUE(LEFT(B61,4)))</f>
        <v/>
      </c>
      <c r="I61" s="21">
        <f>IF(B61="","",VALUE(MID(B61,6,2)))</f>
        <v/>
      </c>
    </row>
    <row r="62">
      <c r="A62" s="21">
        <f>IF(B62="","",ROW()-3)</f>
        <v/>
      </c>
      <c r="B62" s="29" t="n"/>
      <c r="C62" s="29" t="n"/>
      <c r="D62" s="31" t="n"/>
      <c r="E62" s="29" t="n"/>
      <c r="F62" s="29" t="n"/>
      <c r="G62" s="29" t="n"/>
      <c r="H62" s="21">
        <f>IF(B62="","",VALUE(LEFT(B62,4)))</f>
        <v/>
      </c>
      <c r="I62" s="21">
        <f>IF(B62="","",VALUE(MID(B62,6,2)))</f>
        <v/>
      </c>
    </row>
    <row r="63">
      <c r="A63" s="21">
        <f>IF(B63="","",ROW()-3)</f>
        <v/>
      </c>
      <c r="B63" s="29" t="n"/>
      <c r="C63" s="29" t="n"/>
      <c r="D63" s="31" t="n"/>
      <c r="E63" s="29" t="n"/>
      <c r="F63" s="29" t="n"/>
      <c r="G63" s="29" t="n"/>
      <c r="H63" s="21">
        <f>IF(B63="","",VALUE(LEFT(B63,4)))</f>
        <v/>
      </c>
      <c r="I63" s="21">
        <f>IF(B63="","",VALUE(MID(B63,6,2)))</f>
        <v/>
      </c>
    </row>
    <row r="64">
      <c r="A64" s="21">
        <f>IF(B64="","",ROW()-3)</f>
        <v/>
      </c>
      <c r="B64" s="29" t="n"/>
      <c r="C64" s="29" t="n"/>
      <c r="D64" s="31" t="n"/>
      <c r="E64" s="29" t="n"/>
      <c r="F64" s="29" t="n"/>
      <c r="G64" s="29" t="n"/>
      <c r="H64" s="21">
        <f>IF(B64="","",VALUE(LEFT(B64,4)))</f>
        <v/>
      </c>
      <c r="I64" s="21">
        <f>IF(B64="","",VALUE(MID(B64,6,2)))</f>
        <v/>
      </c>
    </row>
    <row r="65">
      <c r="A65" s="21">
        <f>IF(B65="","",ROW()-3)</f>
        <v/>
      </c>
      <c r="B65" s="29" t="n"/>
      <c r="C65" s="29" t="n"/>
      <c r="D65" s="31" t="n"/>
      <c r="E65" s="29" t="n"/>
      <c r="F65" s="29" t="n"/>
      <c r="G65" s="29" t="n"/>
      <c r="H65" s="21">
        <f>IF(B65="","",VALUE(LEFT(B65,4)))</f>
        <v/>
      </c>
      <c r="I65" s="21">
        <f>IF(B65="","",VALUE(MID(B65,6,2)))</f>
        <v/>
      </c>
    </row>
    <row r="66">
      <c r="A66" s="21">
        <f>IF(B66="","",ROW()-3)</f>
        <v/>
      </c>
      <c r="B66" s="29" t="n"/>
      <c r="C66" s="29" t="n"/>
      <c r="D66" s="31" t="n"/>
      <c r="E66" s="29" t="n"/>
      <c r="F66" s="29" t="n"/>
      <c r="G66" s="29" t="n"/>
      <c r="H66" s="21">
        <f>IF(B66="","",VALUE(LEFT(B66,4)))</f>
        <v/>
      </c>
      <c r="I66" s="21">
        <f>IF(B66="","",VALUE(MID(B66,6,2)))</f>
        <v/>
      </c>
    </row>
    <row r="67">
      <c r="A67" s="21">
        <f>IF(B67="","",ROW()-3)</f>
        <v/>
      </c>
      <c r="B67" s="29" t="n"/>
      <c r="C67" s="29" t="n"/>
      <c r="D67" s="31" t="n"/>
      <c r="E67" s="29" t="n"/>
      <c r="F67" s="29" t="n"/>
      <c r="G67" s="29" t="n"/>
      <c r="H67" s="21">
        <f>IF(B67="","",VALUE(LEFT(B67,4)))</f>
        <v/>
      </c>
      <c r="I67" s="21">
        <f>IF(B67="","",VALUE(MID(B67,6,2)))</f>
        <v/>
      </c>
    </row>
    <row r="68">
      <c r="A68" s="21">
        <f>IF(B68="","",ROW()-3)</f>
        <v/>
      </c>
      <c r="B68" s="29" t="n"/>
      <c r="C68" s="29" t="n"/>
      <c r="D68" s="31" t="n"/>
      <c r="E68" s="29" t="n"/>
      <c r="F68" s="29" t="n"/>
      <c r="G68" s="29" t="n"/>
      <c r="H68" s="21">
        <f>IF(B68="","",VALUE(LEFT(B68,4)))</f>
        <v/>
      </c>
      <c r="I68" s="21">
        <f>IF(B68="","",VALUE(MID(B68,6,2)))</f>
        <v/>
      </c>
    </row>
    <row r="69">
      <c r="A69" s="21">
        <f>IF(B69="","",ROW()-3)</f>
        <v/>
      </c>
      <c r="B69" s="29" t="n"/>
      <c r="C69" s="29" t="n"/>
      <c r="D69" s="31" t="n"/>
      <c r="E69" s="29" t="n"/>
      <c r="F69" s="29" t="n"/>
      <c r="G69" s="29" t="n"/>
      <c r="H69" s="21">
        <f>IF(B69="","",VALUE(LEFT(B69,4)))</f>
        <v/>
      </c>
      <c r="I69" s="21">
        <f>IF(B69="","",VALUE(MID(B69,6,2)))</f>
        <v/>
      </c>
    </row>
    <row r="70">
      <c r="A70" s="21">
        <f>IF(B70="","",ROW()-3)</f>
        <v/>
      </c>
      <c r="B70" s="29" t="n"/>
      <c r="C70" s="29" t="n"/>
      <c r="D70" s="31" t="n"/>
      <c r="E70" s="29" t="n"/>
      <c r="F70" s="29" t="n"/>
      <c r="G70" s="29" t="n"/>
      <c r="H70" s="21">
        <f>IF(B70="","",VALUE(LEFT(B70,4)))</f>
        <v/>
      </c>
      <c r="I70" s="21">
        <f>IF(B70="","",VALUE(MID(B70,6,2)))</f>
        <v/>
      </c>
    </row>
    <row r="71">
      <c r="A71" s="21">
        <f>IF(B71="","",ROW()-3)</f>
        <v/>
      </c>
      <c r="B71" s="29" t="n"/>
      <c r="C71" s="29" t="n"/>
      <c r="D71" s="31" t="n"/>
      <c r="E71" s="29" t="n"/>
      <c r="F71" s="29" t="n"/>
      <c r="G71" s="29" t="n"/>
      <c r="H71" s="21">
        <f>IF(B71="","",VALUE(LEFT(B71,4)))</f>
        <v/>
      </c>
      <c r="I71" s="21">
        <f>IF(B71="","",VALUE(MID(B71,6,2)))</f>
        <v/>
      </c>
    </row>
    <row r="72">
      <c r="A72" s="21">
        <f>IF(B72="","",ROW()-3)</f>
        <v/>
      </c>
      <c r="B72" s="29" t="n"/>
      <c r="C72" s="29" t="n"/>
      <c r="D72" s="31" t="n"/>
      <c r="E72" s="29" t="n"/>
      <c r="F72" s="29" t="n"/>
      <c r="G72" s="29" t="n"/>
      <c r="H72" s="21">
        <f>IF(B72="","",VALUE(LEFT(B72,4)))</f>
        <v/>
      </c>
      <c r="I72" s="21">
        <f>IF(B72="","",VALUE(MID(B72,6,2)))</f>
        <v/>
      </c>
    </row>
    <row r="73">
      <c r="A73" s="21">
        <f>IF(B73="","",ROW()-3)</f>
        <v/>
      </c>
      <c r="B73" s="29" t="n"/>
      <c r="C73" s="29" t="n"/>
      <c r="D73" s="31" t="n"/>
      <c r="E73" s="29" t="n"/>
      <c r="F73" s="29" t="n"/>
      <c r="G73" s="29" t="n"/>
      <c r="H73" s="21">
        <f>IF(B73="","",VALUE(LEFT(B73,4)))</f>
        <v/>
      </c>
      <c r="I73" s="21">
        <f>IF(B73="","",VALUE(MID(B73,6,2)))</f>
        <v/>
      </c>
    </row>
    <row r="74">
      <c r="A74" s="21">
        <f>IF(B74="","",ROW()-3)</f>
        <v/>
      </c>
      <c r="B74" s="29" t="n"/>
      <c r="C74" s="29" t="n"/>
      <c r="D74" s="31" t="n"/>
      <c r="E74" s="29" t="n"/>
      <c r="F74" s="29" t="n"/>
      <c r="G74" s="29" t="n"/>
      <c r="H74" s="21">
        <f>IF(B74="","",VALUE(LEFT(B74,4)))</f>
        <v/>
      </c>
      <c r="I74" s="21">
        <f>IF(B74="","",VALUE(MID(B74,6,2)))</f>
        <v/>
      </c>
    </row>
    <row r="75">
      <c r="A75" s="21">
        <f>IF(B75="","",ROW()-3)</f>
        <v/>
      </c>
      <c r="B75" s="29" t="n"/>
      <c r="C75" s="29" t="n"/>
      <c r="D75" s="31" t="n"/>
      <c r="E75" s="29" t="n"/>
      <c r="F75" s="29" t="n"/>
      <c r="G75" s="29" t="n"/>
      <c r="H75" s="21">
        <f>IF(B75="","",VALUE(LEFT(B75,4)))</f>
        <v/>
      </c>
      <c r="I75" s="21">
        <f>IF(B75="","",VALUE(MID(B75,6,2)))</f>
        <v/>
      </c>
    </row>
    <row r="76">
      <c r="A76" s="21">
        <f>IF(B76="","",ROW()-3)</f>
        <v/>
      </c>
      <c r="B76" s="29" t="n"/>
      <c r="C76" s="29" t="n"/>
      <c r="D76" s="31" t="n"/>
      <c r="E76" s="29" t="n"/>
      <c r="F76" s="29" t="n"/>
      <c r="G76" s="29" t="n"/>
      <c r="H76" s="21">
        <f>IF(B76="","",VALUE(LEFT(B76,4)))</f>
        <v/>
      </c>
      <c r="I76" s="21">
        <f>IF(B76="","",VALUE(MID(B76,6,2)))</f>
        <v/>
      </c>
    </row>
    <row r="77">
      <c r="A77" s="21">
        <f>IF(B77="","",ROW()-3)</f>
        <v/>
      </c>
      <c r="B77" s="29" t="n"/>
      <c r="C77" s="29" t="n"/>
      <c r="D77" s="31" t="n"/>
      <c r="E77" s="29" t="n"/>
      <c r="F77" s="29" t="n"/>
      <c r="G77" s="29" t="n"/>
      <c r="H77" s="21">
        <f>IF(B77="","",VALUE(LEFT(B77,4)))</f>
        <v/>
      </c>
      <c r="I77" s="21">
        <f>IF(B77="","",VALUE(MID(B77,6,2)))</f>
        <v/>
      </c>
    </row>
    <row r="78">
      <c r="A78" s="21">
        <f>IF(B78="","",ROW()-3)</f>
        <v/>
      </c>
      <c r="B78" s="29" t="n"/>
      <c r="C78" s="29" t="n"/>
      <c r="D78" s="31" t="n"/>
      <c r="E78" s="29" t="n"/>
      <c r="F78" s="29" t="n"/>
      <c r="G78" s="29" t="n"/>
      <c r="H78" s="21">
        <f>IF(B78="","",VALUE(LEFT(B78,4)))</f>
        <v/>
      </c>
      <c r="I78" s="21">
        <f>IF(B78="","",VALUE(MID(B78,6,2)))</f>
        <v/>
      </c>
    </row>
    <row r="79">
      <c r="A79" s="21">
        <f>IF(B79="","",ROW()-3)</f>
        <v/>
      </c>
      <c r="B79" s="29" t="n"/>
      <c r="C79" s="29" t="n"/>
      <c r="D79" s="31" t="n"/>
      <c r="E79" s="29" t="n"/>
      <c r="F79" s="29" t="n"/>
      <c r="G79" s="29" t="n"/>
      <c r="H79" s="21">
        <f>IF(B79="","",VALUE(LEFT(B79,4)))</f>
        <v/>
      </c>
      <c r="I79" s="21">
        <f>IF(B79="","",VALUE(MID(B79,6,2)))</f>
        <v/>
      </c>
    </row>
    <row r="80">
      <c r="A80" s="21">
        <f>IF(B80="","",ROW()-3)</f>
        <v/>
      </c>
      <c r="B80" s="29" t="n"/>
      <c r="C80" s="29" t="n"/>
      <c r="D80" s="31" t="n"/>
      <c r="E80" s="29" t="n"/>
      <c r="F80" s="29" t="n"/>
      <c r="G80" s="29" t="n"/>
      <c r="H80" s="21">
        <f>IF(B80="","",VALUE(LEFT(B80,4)))</f>
        <v/>
      </c>
      <c r="I80" s="21">
        <f>IF(B80="","",VALUE(MID(B80,6,2)))</f>
        <v/>
      </c>
    </row>
    <row r="81">
      <c r="A81" s="21">
        <f>IF(B81="","",ROW()-3)</f>
        <v/>
      </c>
      <c r="B81" s="29" t="n"/>
      <c r="C81" s="29" t="n"/>
      <c r="D81" s="31" t="n"/>
      <c r="E81" s="29" t="n"/>
      <c r="F81" s="29" t="n"/>
      <c r="G81" s="29" t="n"/>
      <c r="H81" s="21">
        <f>IF(B81="","",VALUE(LEFT(B81,4)))</f>
        <v/>
      </c>
      <c r="I81" s="21">
        <f>IF(B81="","",VALUE(MID(B81,6,2)))</f>
        <v/>
      </c>
    </row>
    <row r="82">
      <c r="A82" s="21">
        <f>IF(B82="","",ROW()-3)</f>
        <v/>
      </c>
      <c r="B82" s="29" t="n"/>
      <c r="C82" s="29" t="n"/>
      <c r="D82" s="31" t="n"/>
      <c r="E82" s="29" t="n"/>
      <c r="F82" s="29" t="n"/>
      <c r="G82" s="29" t="n"/>
      <c r="H82" s="21">
        <f>IF(B82="","",VALUE(LEFT(B82,4)))</f>
        <v/>
      </c>
      <c r="I82" s="21">
        <f>IF(B82="","",VALUE(MID(B82,6,2)))</f>
        <v/>
      </c>
    </row>
    <row r="83">
      <c r="A83" s="21">
        <f>IF(B83="","",ROW()-3)</f>
        <v/>
      </c>
      <c r="B83" s="29" t="n"/>
      <c r="C83" s="29" t="n"/>
      <c r="D83" s="31" t="n"/>
      <c r="E83" s="29" t="n"/>
      <c r="F83" s="29" t="n"/>
      <c r="G83" s="29" t="n"/>
      <c r="H83" s="21">
        <f>IF(B83="","",VALUE(LEFT(B83,4)))</f>
        <v/>
      </c>
      <c r="I83" s="21">
        <f>IF(B83="","",VALUE(MID(B83,6,2)))</f>
        <v/>
      </c>
    </row>
    <row r="84">
      <c r="A84" s="21">
        <f>IF(B84="","",ROW()-3)</f>
        <v/>
      </c>
      <c r="B84" s="29" t="n"/>
      <c r="C84" s="29" t="n"/>
      <c r="D84" s="31" t="n"/>
      <c r="E84" s="29" t="n"/>
      <c r="F84" s="29" t="n"/>
      <c r="G84" s="29" t="n"/>
      <c r="H84" s="21">
        <f>IF(B84="","",VALUE(LEFT(B84,4)))</f>
        <v/>
      </c>
      <c r="I84" s="21">
        <f>IF(B84="","",VALUE(MID(B84,6,2)))</f>
        <v/>
      </c>
    </row>
    <row r="85">
      <c r="A85" s="21">
        <f>IF(B85="","",ROW()-3)</f>
        <v/>
      </c>
      <c r="B85" s="29" t="n"/>
      <c r="C85" s="29" t="n"/>
      <c r="D85" s="31" t="n"/>
      <c r="E85" s="29" t="n"/>
      <c r="F85" s="29" t="n"/>
      <c r="G85" s="29" t="n"/>
      <c r="H85" s="21">
        <f>IF(B85="","",VALUE(LEFT(B85,4)))</f>
        <v/>
      </c>
      <c r="I85" s="21">
        <f>IF(B85="","",VALUE(MID(B85,6,2)))</f>
        <v/>
      </c>
    </row>
    <row r="86">
      <c r="A86" s="21">
        <f>IF(B86="","",ROW()-3)</f>
        <v/>
      </c>
      <c r="B86" s="29" t="n"/>
      <c r="C86" s="29" t="n"/>
      <c r="D86" s="31" t="n"/>
      <c r="E86" s="29" t="n"/>
      <c r="F86" s="29" t="n"/>
      <c r="G86" s="29" t="n"/>
      <c r="H86" s="21">
        <f>IF(B86="","",VALUE(LEFT(B86,4)))</f>
        <v/>
      </c>
      <c r="I86" s="21">
        <f>IF(B86="","",VALUE(MID(B86,6,2)))</f>
        <v/>
      </c>
    </row>
    <row r="87">
      <c r="A87" s="21">
        <f>IF(B87="","",ROW()-3)</f>
        <v/>
      </c>
      <c r="B87" s="29" t="n"/>
      <c r="C87" s="29" t="n"/>
      <c r="D87" s="31" t="n"/>
      <c r="E87" s="29" t="n"/>
      <c r="F87" s="29" t="n"/>
      <c r="G87" s="29" t="n"/>
      <c r="H87" s="21">
        <f>IF(B87="","",VALUE(LEFT(B87,4)))</f>
        <v/>
      </c>
      <c r="I87" s="21">
        <f>IF(B87="","",VALUE(MID(B87,6,2)))</f>
        <v/>
      </c>
    </row>
    <row r="88">
      <c r="A88" s="21">
        <f>IF(B88="","",ROW()-3)</f>
        <v/>
      </c>
      <c r="B88" s="29" t="n"/>
      <c r="C88" s="29" t="n"/>
      <c r="D88" s="31" t="n"/>
      <c r="E88" s="29" t="n"/>
      <c r="F88" s="29" t="n"/>
      <c r="G88" s="29" t="n"/>
      <c r="H88" s="21">
        <f>IF(B88="","",VALUE(LEFT(B88,4)))</f>
        <v/>
      </c>
      <c r="I88" s="21">
        <f>IF(B88="","",VALUE(MID(B88,6,2)))</f>
        <v/>
      </c>
    </row>
    <row r="89">
      <c r="A89" s="21">
        <f>IF(B89="","",ROW()-3)</f>
        <v/>
      </c>
      <c r="B89" s="29" t="n"/>
      <c r="C89" s="29" t="n"/>
      <c r="D89" s="31" t="n"/>
      <c r="E89" s="29" t="n"/>
      <c r="F89" s="29" t="n"/>
      <c r="G89" s="29" t="n"/>
      <c r="H89" s="21">
        <f>IF(B89="","",VALUE(LEFT(B89,4)))</f>
        <v/>
      </c>
      <c r="I89" s="21">
        <f>IF(B89="","",VALUE(MID(B89,6,2)))</f>
        <v/>
      </c>
    </row>
    <row r="90">
      <c r="A90" s="21">
        <f>IF(B90="","",ROW()-3)</f>
        <v/>
      </c>
      <c r="B90" s="29" t="n"/>
      <c r="C90" s="29" t="n"/>
      <c r="D90" s="31" t="n"/>
      <c r="E90" s="29" t="n"/>
      <c r="F90" s="29" t="n"/>
      <c r="G90" s="29" t="n"/>
      <c r="H90" s="21">
        <f>IF(B90="","",VALUE(LEFT(B90,4)))</f>
        <v/>
      </c>
      <c r="I90" s="21">
        <f>IF(B90="","",VALUE(MID(B90,6,2)))</f>
        <v/>
      </c>
    </row>
    <row r="91">
      <c r="A91" s="21">
        <f>IF(B91="","",ROW()-3)</f>
        <v/>
      </c>
      <c r="B91" s="29" t="n"/>
      <c r="C91" s="29" t="n"/>
      <c r="D91" s="31" t="n"/>
      <c r="E91" s="29" t="n"/>
      <c r="F91" s="29" t="n"/>
      <c r="G91" s="29" t="n"/>
      <c r="H91" s="21">
        <f>IF(B91="","",VALUE(LEFT(B91,4)))</f>
        <v/>
      </c>
      <c r="I91" s="21">
        <f>IF(B91="","",VALUE(MID(B91,6,2)))</f>
        <v/>
      </c>
    </row>
    <row r="92">
      <c r="A92" s="21">
        <f>IF(B92="","",ROW()-3)</f>
        <v/>
      </c>
      <c r="B92" s="29" t="n"/>
      <c r="C92" s="29" t="n"/>
      <c r="D92" s="31" t="n"/>
      <c r="E92" s="29" t="n"/>
      <c r="F92" s="29" t="n"/>
      <c r="G92" s="29" t="n"/>
      <c r="H92" s="21">
        <f>IF(B92="","",VALUE(LEFT(B92,4)))</f>
        <v/>
      </c>
      <c r="I92" s="21">
        <f>IF(B92="","",VALUE(MID(B92,6,2)))</f>
        <v/>
      </c>
    </row>
    <row r="93">
      <c r="A93" s="21">
        <f>IF(B93="","",ROW()-3)</f>
        <v/>
      </c>
      <c r="B93" s="29" t="n"/>
      <c r="C93" s="29" t="n"/>
      <c r="D93" s="31" t="n"/>
      <c r="E93" s="29" t="n"/>
      <c r="F93" s="29" t="n"/>
      <c r="G93" s="29" t="n"/>
      <c r="H93" s="21">
        <f>IF(B93="","",VALUE(LEFT(B93,4)))</f>
        <v/>
      </c>
      <c r="I93" s="21">
        <f>IF(B93="","",VALUE(MID(B93,6,2)))</f>
        <v/>
      </c>
    </row>
    <row r="94">
      <c r="A94" s="21">
        <f>IF(B94="","",ROW()-3)</f>
        <v/>
      </c>
      <c r="B94" s="29" t="n"/>
      <c r="C94" s="29" t="n"/>
      <c r="D94" s="31" t="n"/>
      <c r="E94" s="29" t="n"/>
      <c r="F94" s="29" t="n"/>
      <c r="G94" s="29" t="n"/>
      <c r="H94" s="21">
        <f>IF(B94="","",VALUE(LEFT(B94,4)))</f>
        <v/>
      </c>
      <c r="I94" s="21">
        <f>IF(B94="","",VALUE(MID(B94,6,2)))</f>
        <v/>
      </c>
    </row>
    <row r="95">
      <c r="A95" s="21">
        <f>IF(B95="","",ROW()-3)</f>
        <v/>
      </c>
      <c r="B95" s="29" t="n"/>
      <c r="C95" s="29" t="n"/>
      <c r="D95" s="31" t="n"/>
      <c r="E95" s="29" t="n"/>
      <c r="F95" s="29" t="n"/>
      <c r="G95" s="29" t="n"/>
      <c r="H95" s="21">
        <f>IF(B95="","",VALUE(LEFT(B95,4)))</f>
        <v/>
      </c>
      <c r="I95" s="21">
        <f>IF(B95="","",VALUE(MID(B95,6,2)))</f>
        <v/>
      </c>
    </row>
    <row r="96">
      <c r="A96" s="21">
        <f>IF(B96="","",ROW()-3)</f>
        <v/>
      </c>
      <c r="B96" s="29" t="n"/>
      <c r="C96" s="29" t="n"/>
      <c r="D96" s="31" t="n"/>
      <c r="E96" s="29" t="n"/>
      <c r="F96" s="29" t="n"/>
      <c r="G96" s="29" t="n"/>
      <c r="H96" s="21">
        <f>IF(B96="","",VALUE(LEFT(B96,4)))</f>
        <v/>
      </c>
      <c r="I96" s="21">
        <f>IF(B96="","",VALUE(MID(B96,6,2)))</f>
        <v/>
      </c>
    </row>
    <row r="97">
      <c r="A97" s="21">
        <f>IF(B97="","",ROW()-3)</f>
        <v/>
      </c>
      <c r="B97" s="29" t="n"/>
      <c r="C97" s="29" t="n"/>
      <c r="D97" s="31" t="n"/>
      <c r="E97" s="29" t="n"/>
      <c r="F97" s="29" t="n"/>
      <c r="G97" s="29" t="n"/>
      <c r="H97" s="21">
        <f>IF(B97="","",VALUE(LEFT(B97,4)))</f>
        <v/>
      </c>
      <c r="I97" s="21">
        <f>IF(B97="","",VALUE(MID(B97,6,2)))</f>
        <v/>
      </c>
    </row>
    <row r="98">
      <c r="A98" s="21">
        <f>IF(B98="","",ROW()-3)</f>
        <v/>
      </c>
      <c r="B98" s="29" t="n"/>
      <c r="C98" s="29" t="n"/>
      <c r="D98" s="31" t="n"/>
      <c r="E98" s="29" t="n"/>
      <c r="F98" s="29" t="n"/>
      <c r="G98" s="29" t="n"/>
      <c r="H98" s="21">
        <f>IF(B98="","",VALUE(LEFT(B98,4)))</f>
        <v/>
      </c>
      <c r="I98" s="21">
        <f>IF(B98="","",VALUE(MID(B98,6,2)))</f>
        <v/>
      </c>
    </row>
    <row r="99">
      <c r="A99" s="21">
        <f>IF(B99="","",ROW()-3)</f>
        <v/>
      </c>
      <c r="B99" s="29" t="n"/>
      <c r="C99" s="29" t="n"/>
      <c r="D99" s="31" t="n"/>
      <c r="E99" s="29" t="n"/>
      <c r="F99" s="29" t="n"/>
      <c r="G99" s="29" t="n"/>
      <c r="H99" s="21">
        <f>IF(B99="","",VALUE(LEFT(B99,4)))</f>
        <v/>
      </c>
      <c r="I99" s="21">
        <f>IF(B99="","",VALUE(MID(B99,6,2)))</f>
        <v/>
      </c>
    </row>
    <row r="100">
      <c r="A100" s="21">
        <f>IF(B100="","",ROW()-3)</f>
        <v/>
      </c>
      <c r="B100" s="29" t="n"/>
      <c r="C100" s="29" t="n"/>
      <c r="D100" s="31" t="n"/>
      <c r="E100" s="29" t="n"/>
      <c r="F100" s="29" t="n"/>
      <c r="G100" s="29" t="n"/>
      <c r="H100" s="21">
        <f>IF(B100="","",VALUE(LEFT(B100,4)))</f>
        <v/>
      </c>
      <c r="I100" s="21">
        <f>IF(B100="","",VALUE(MID(B100,6,2)))</f>
        <v/>
      </c>
    </row>
    <row r="101">
      <c r="A101" s="21">
        <f>IF(B101="","",ROW()-3)</f>
        <v/>
      </c>
      <c r="B101" s="29" t="n"/>
      <c r="C101" s="29" t="n"/>
      <c r="D101" s="31" t="n"/>
      <c r="E101" s="29" t="n"/>
      <c r="F101" s="29" t="n"/>
      <c r="G101" s="29" t="n"/>
      <c r="H101" s="21">
        <f>IF(B101="","",VALUE(LEFT(B101,4)))</f>
        <v/>
      </c>
      <c r="I101" s="21">
        <f>IF(B101="","",VALUE(MID(B101,6,2)))</f>
        <v/>
      </c>
    </row>
    <row r="102">
      <c r="A102" s="21">
        <f>IF(B102="","",ROW()-3)</f>
        <v/>
      </c>
      <c r="B102" s="29" t="n"/>
      <c r="C102" s="29" t="n"/>
      <c r="D102" s="31" t="n"/>
      <c r="E102" s="29" t="n"/>
      <c r="F102" s="29" t="n"/>
      <c r="G102" s="29" t="n"/>
      <c r="H102" s="21">
        <f>IF(B102="","",VALUE(LEFT(B102,4)))</f>
        <v/>
      </c>
      <c r="I102" s="21">
        <f>IF(B102="","",VALUE(MID(B102,6,2)))</f>
        <v/>
      </c>
    </row>
    <row r="103">
      <c r="A103" s="21">
        <f>IF(B103="","",ROW()-3)</f>
        <v/>
      </c>
      <c r="B103" s="29" t="n"/>
      <c r="C103" s="29" t="n"/>
      <c r="D103" s="31" t="n"/>
      <c r="E103" s="29" t="n"/>
      <c r="F103" s="29" t="n"/>
      <c r="G103" s="29" t="n"/>
      <c r="H103" s="21">
        <f>IF(B103="","",VALUE(LEFT(B103,4)))</f>
        <v/>
      </c>
      <c r="I103" s="21">
        <f>IF(B103="","",VALUE(MID(B103,6,2)))</f>
        <v/>
      </c>
    </row>
    <row r="104">
      <c r="A104" s="21">
        <f>IF(B104="","",ROW()-3)</f>
        <v/>
      </c>
      <c r="B104" s="29" t="n"/>
      <c r="C104" s="29" t="n"/>
      <c r="D104" s="31" t="n"/>
      <c r="E104" s="29" t="n"/>
      <c r="F104" s="29" t="n"/>
      <c r="G104" s="29" t="n"/>
      <c r="H104" s="21">
        <f>IF(B104="","",VALUE(LEFT(B104,4)))</f>
        <v/>
      </c>
      <c r="I104" s="21">
        <f>IF(B104="","",VALUE(MID(B104,6,2)))</f>
        <v/>
      </c>
    </row>
    <row r="105">
      <c r="A105" s="21">
        <f>IF(B105="","",ROW()-3)</f>
        <v/>
      </c>
      <c r="B105" s="29" t="n"/>
      <c r="C105" s="29" t="n"/>
      <c r="D105" s="31" t="n"/>
      <c r="E105" s="29" t="n"/>
      <c r="F105" s="29" t="n"/>
      <c r="G105" s="29" t="n"/>
      <c r="H105" s="21">
        <f>IF(B105="","",VALUE(LEFT(B105,4)))</f>
        <v/>
      </c>
      <c r="I105" s="21">
        <f>IF(B105="","",VALUE(MID(B105,6,2)))</f>
        <v/>
      </c>
    </row>
    <row r="106">
      <c r="A106" s="21">
        <f>IF(B106="","",ROW()-3)</f>
        <v/>
      </c>
      <c r="B106" s="29" t="n"/>
      <c r="C106" s="29" t="n"/>
      <c r="D106" s="31" t="n"/>
      <c r="E106" s="29" t="n"/>
      <c r="F106" s="29" t="n"/>
      <c r="G106" s="29" t="n"/>
      <c r="H106" s="21">
        <f>IF(B106="","",VALUE(LEFT(B106,4)))</f>
        <v/>
      </c>
      <c r="I106" s="21">
        <f>IF(B106="","",VALUE(MID(B106,6,2)))</f>
        <v/>
      </c>
    </row>
    <row r="107">
      <c r="A107" s="21">
        <f>IF(B107="","",ROW()-3)</f>
        <v/>
      </c>
      <c r="B107" s="29" t="n"/>
      <c r="C107" s="29" t="n"/>
      <c r="D107" s="31" t="n"/>
      <c r="E107" s="29" t="n"/>
      <c r="F107" s="29" t="n"/>
      <c r="G107" s="29" t="n"/>
      <c r="H107" s="21">
        <f>IF(B107="","",VALUE(LEFT(B107,4)))</f>
        <v/>
      </c>
      <c r="I107" s="21">
        <f>IF(B107="","",VALUE(MID(B107,6,2)))</f>
        <v/>
      </c>
    </row>
    <row r="108">
      <c r="A108" s="21">
        <f>IF(B108="","",ROW()-3)</f>
        <v/>
      </c>
      <c r="B108" s="29" t="n"/>
      <c r="C108" s="29" t="n"/>
      <c r="D108" s="31" t="n"/>
      <c r="E108" s="29" t="n"/>
      <c r="F108" s="29" t="n"/>
      <c r="G108" s="29" t="n"/>
      <c r="H108" s="21">
        <f>IF(B108="","",VALUE(LEFT(B108,4)))</f>
        <v/>
      </c>
      <c r="I108" s="21">
        <f>IF(B108="","",VALUE(MID(B108,6,2)))</f>
        <v/>
      </c>
    </row>
    <row r="109">
      <c r="A109" s="21">
        <f>IF(B109="","",ROW()-3)</f>
        <v/>
      </c>
      <c r="B109" s="29" t="n"/>
      <c r="C109" s="29" t="n"/>
      <c r="D109" s="31" t="n"/>
      <c r="E109" s="29" t="n"/>
      <c r="F109" s="29" t="n"/>
      <c r="G109" s="29" t="n"/>
      <c r="H109" s="21">
        <f>IF(B109="","",VALUE(LEFT(B109,4)))</f>
        <v/>
      </c>
      <c r="I109" s="21">
        <f>IF(B109="","",VALUE(MID(B109,6,2)))</f>
        <v/>
      </c>
    </row>
    <row r="110">
      <c r="A110" s="21">
        <f>IF(B110="","",ROW()-3)</f>
        <v/>
      </c>
      <c r="B110" s="29" t="n"/>
      <c r="C110" s="29" t="n"/>
      <c r="D110" s="31" t="n"/>
      <c r="E110" s="29" t="n"/>
      <c r="F110" s="29" t="n"/>
      <c r="G110" s="29" t="n"/>
      <c r="H110" s="21">
        <f>IF(B110="","",VALUE(LEFT(B110,4)))</f>
        <v/>
      </c>
      <c r="I110" s="21">
        <f>IF(B110="","",VALUE(MID(B110,6,2)))</f>
        <v/>
      </c>
    </row>
    <row r="111">
      <c r="A111" s="21">
        <f>IF(B111="","",ROW()-3)</f>
        <v/>
      </c>
      <c r="B111" s="29" t="n"/>
      <c r="C111" s="29" t="n"/>
      <c r="D111" s="31" t="n"/>
      <c r="E111" s="29" t="n"/>
      <c r="F111" s="29" t="n"/>
      <c r="G111" s="29" t="n"/>
      <c r="H111" s="21">
        <f>IF(B111="","",VALUE(LEFT(B111,4)))</f>
        <v/>
      </c>
      <c r="I111" s="21">
        <f>IF(B111="","",VALUE(MID(B111,6,2)))</f>
        <v/>
      </c>
    </row>
    <row r="112">
      <c r="A112" s="21">
        <f>IF(B112="","",ROW()-3)</f>
        <v/>
      </c>
      <c r="B112" s="29" t="n"/>
      <c r="C112" s="29" t="n"/>
      <c r="D112" s="31" t="n"/>
      <c r="E112" s="29" t="n"/>
      <c r="F112" s="29" t="n"/>
      <c r="G112" s="29" t="n"/>
      <c r="H112" s="21">
        <f>IF(B112="","",VALUE(LEFT(B112,4)))</f>
        <v/>
      </c>
      <c r="I112" s="21">
        <f>IF(B112="","",VALUE(MID(B112,6,2)))</f>
        <v/>
      </c>
    </row>
    <row r="113">
      <c r="A113" s="21">
        <f>IF(B113="","",ROW()-3)</f>
        <v/>
      </c>
      <c r="B113" s="29" t="n"/>
      <c r="C113" s="29" t="n"/>
      <c r="D113" s="31" t="n"/>
      <c r="E113" s="29" t="n"/>
      <c r="F113" s="29" t="n"/>
      <c r="G113" s="29" t="n"/>
      <c r="H113" s="21">
        <f>IF(B113="","",VALUE(LEFT(B113,4)))</f>
        <v/>
      </c>
      <c r="I113" s="21">
        <f>IF(B113="","",VALUE(MID(B113,6,2)))</f>
        <v/>
      </c>
    </row>
    <row r="114">
      <c r="A114" s="21">
        <f>IF(B114="","",ROW()-3)</f>
        <v/>
      </c>
      <c r="B114" s="29" t="n"/>
      <c r="C114" s="29" t="n"/>
      <c r="D114" s="31" t="n"/>
      <c r="E114" s="29" t="n"/>
      <c r="F114" s="29" t="n"/>
      <c r="G114" s="29" t="n"/>
      <c r="H114" s="21">
        <f>IF(B114="","",VALUE(LEFT(B114,4)))</f>
        <v/>
      </c>
      <c r="I114" s="21">
        <f>IF(B114="","",VALUE(MID(B114,6,2)))</f>
        <v/>
      </c>
    </row>
    <row r="115">
      <c r="A115" s="21">
        <f>IF(B115="","",ROW()-3)</f>
        <v/>
      </c>
      <c r="B115" s="29" t="n"/>
      <c r="C115" s="29" t="n"/>
      <c r="D115" s="31" t="n"/>
      <c r="E115" s="29" t="n"/>
      <c r="F115" s="29" t="n"/>
      <c r="G115" s="29" t="n"/>
      <c r="H115" s="21">
        <f>IF(B115="","",VALUE(LEFT(B115,4)))</f>
        <v/>
      </c>
      <c r="I115" s="21">
        <f>IF(B115="","",VALUE(MID(B115,6,2)))</f>
        <v/>
      </c>
    </row>
    <row r="116">
      <c r="A116" s="21">
        <f>IF(B116="","",ROW()-3)</f>
        <v/>
      </c>
      <c r="B116" s="29" t="n"/>
      <c r="C116" s="29" t="n"/>
      <c r="D116" s="31" t="n"/>
      <c r="E116" s="29" t="n"/>
      <c r="F116" s="29" t="n"/>
      <c r="G116" s="29" t="n"/>
      <c r="H116" s="21">
        <f>IF(B116="","",VALUE(LEFT(B116,4)))</f>
        <v/>
      </c>
      <c r="I116" s="21">
        <f>IF(B116="","",VALUE(MID(B116,6,2)))</f>
        <v/>
      </c>
    </row>
    <row r="117">
      <c r="A117" s="21">
        <f>IF(B117="","",ROW()-3)</f>
        <v/>
      </c>
      <c r="B117" s="29" t="n"/>
      <c r="C117" s="29" t="n"/>
      <c r="D117" s="31" t="n"/>
      <c r="E117" s="29" t="n"/>
      <c r="F117" s="29" t="n"/>
      <c r="G117" s="29" t="n"/>
      <c r="H117" s="21">
        <f>IF(B117="","",VALUE(LEFT(B117,4)))</f>
        <v/>
      </c>
      <c r="I117" s="21">
        <f>IF(B117="","",VALUE(MID(B117,6,2)))</f>
        <v/>
      </c>
    </row>
    <row r="118">
      <c r="A118" s="21">
        <f>IF(B118="","",ROW()-3)</f>
        <v/>
      </c>
      <c r="B118" s="29" t="n"/>
      <c r="C118" s="29" t="n"/>
      <c r="D118" s="31" t="n"/>
      <c r="E118" s="29" t="n"/>
      <c r="F118" s="29" t="n"/>
      <c r="G118" s="29" t="n"/>
      <c r="H118" s="21">
        <f>IF(B118="","",VALUE(LEFT(B118,4)))</f>
        <v/>
      </c>
      <c r="I118" s="21">
        <f>IF(B118="","",VALUE(MID(B118,6,2)))</f>
        <v/>
      </c>
    </row>
    <row r="119">
      <c r="A119" s="21">
        <f>IF(B119="","",ROW()-3)</f>
        <v/>
      </c>
      <c r="B119" s="29" t="n"/>
      <c r="C119" s="29" t="n"/>
      <c r="D119" s="31" t="n"/>
      <c r="E119" s="29" t="n"/>
      <c r="F119" s="29" t="n"/>
      <c r="G119" s="29" t="n"/>
      <c r="H119" s="21">
        <f>IF(B119="","",VALUE(LEFT(B119,4)))</f>
        <v/>
      </c>
      <c r="I119" s="21">
        <f>IF(B119="","",VALUE(MID(B119,6,2)))</f>
        <v/>
      </c>
    </row>
    <row r="120">
      <c r="A120" s="21">
        <f>IF(B120="","",ROW()-3)</f>
        <v/>
      </c>
      <c r="B120" s="29" t="n"/>
      <c r="C120" s="29" t="n"/>
      <c r="D120" s="31" t="n"/>
      <c r="E120" s="29" t="n"/>
      <c r="F120" s="29" t="n"/>
      <c r="G120" s="29" t="n"/>
      <c r="H120" s="21">
        <f>IF(B120="","",VALUE(LEFT(B120,4)))</f>
        <v/>
      </c>
      <c r="I120" s="21">
        <f>IF(B120="","",VALUE(MID(B120,6,2)))</f>
        <v/>
      </c>
    </row>
    <row r="121">
      <c r="A121" s="21">
        <f>IF(B121="","",ROW()-3)</f>
        <v/>
      </c>
      <c r="B121" s="29" t="n"/>
      <c r="C121" s="29" t="n"/>
      <c r="D121" s="31" t="n"/>
      <c r="E121" s="29" t="n"/>
      <c r="F121" s="29" t="n"/>
      <c r="G121" s="29" t="n"/>
      <c r="H121" s="21">
        <f>IF(B121="","",VALUE(LEFT(B121,4)))</f>
        <v/>
      </c>
      <c r="I121" s="21">
        <f>IF(B121="","",VALUE(MID(B121,6,2)))</f>
        <v/>
      </c>
    </row>
    <row r="122">
      <c r="A122" s="21">
        <f>IF(B122="","",ROW()-3)</f>
        <v/>
      </c>
      <c r="B122" s="29" t="n"/>
      <c r="C122" s="29" t="n"/>
      <c r="D122" s="31" t="n"/>
      <c r="E122" s="29" t="n"/>
      <c r="F122" s="29" t="n"/>
      <c r="G122" s="29" t="n"/>
      <c r="H122" s="21">
        <f>IF(B122="","",VALUE(LEFT(B122,4)))</f>
        <v/>
      </c>
      <c r="I122" s="21">
        <f>IF(B122="","",VALUE(MID(B122,6,2)))</f>
        <v/>
      </c>
    </row>
    <row r="123">
      <c r="A123" s="21">
        <f>IF(B123="","",ROW()-3)</f>
        <v/>
      </c>
      <c r="B123" s="29" t="n"/>
      <c r="C123" s="29" t="n"/>
      <c r="D123" s="31" t="n"/>
      <c r="E123" s="29" t="n"/>
      <c r="F123" s="29" t="n"/>
      <c r="G123" s="29" t="n"/>
      <c r="H123" s="21">
        <f>IF(B123="","",VALUE(LEFT(B123,4)))</f>
        <v/>
      </c>
      <c r="I123" s="21">
        <f>IF(B123="","",VALUE(MID(B123,6,2)))</f>
        <v/>
      </c>
    </row>
    <row r="124">
      <c r="A124" s="21">
        <f>IF(B124="","",ROW()-3)</f>
        <v/>
      </c>
      <c r="B124" s="29" t="n"/>
      <c r="C124" s="29" t="n"/>
      <c r="D124" s="31" t="n"/>
      <c r="E124" s="29" t="n"/>
      <c r="F124" s="29" t="n"/>
      <c r="G124" s="29" t="n"/>
      <c r="H124" s="21">
        <f>IF(B124="","",VALUE(LEFT(B124,4)))</f>
        <v/>
      </c>
      <c r="I124" s="21">
        <f>IF(B124="","",VALUE(MID(B124,6,2)))</f>
        <v/>
      </c>
    </row>
    <row r="125">
      <c r="A125" s="21">
        <f>IF(B125="","",ROW()-3)</f>
        <v/>
      </c>
      <c r="B125" s="29" t="n"/>
      <c r="C125" s="29" t="n"/>
      <c r="D125" s="31" t="n"/>
      <c r="E125" s="29" t="n"/>
      <c r="F125" s="29" t="n"/>
      <c r="G125" s="29" t="n"/>
      <c r="H125" s="21">
        <f>IF(B125="","",VALUE(LEFT(B125,4)))</f>
        <v/>
      </c>
      <c r="I125" s="21">
        <f>IF(B125="","",VALUE(MID(B125,6,2)))</f>
        <v/>
      </c>
    </row>
    <row r="126">
      <c r="A126" s="21">
        <f>IF(B126="","",ROW()-3)</f>
        <v/>
      </c>
      <c r="B126" s="29" t="n"/>
      <c r="C126" s="29" t="n"/>
      <c r="D126" s="31" t="n"/>
      <c r="E126" s="29" t="n"/>
      <c r="F126" s="29" t="n"/>
      <c r="G126" s="29" t="n"/>
      <c r="H126" s="21">
        <f>IF(B126="","",VALUE(LEFT(B126,4)))</f>
        <v/>
      </c>
      <c r="I126" s="21">
        <f>IF(B126="","",VALUE(MID(B126,6,2)))</f>
        <v/>
      </c>
    </row>
    <row r="127">
      <c r="A127" s="21">
        <f>IF(B127="","",ROW()-3)</f>
        <v/>
      </c>
      <c r="B127" s="29" t="n"/>
      <c r="C127" s="29" t="n"/>
      <c r="D127" s="31" t="n"/>
      <c r="E127" s="29" t="n"/>
      <c r="F127" s="29" t="n"/>
      <c r="G127" s="29" t="n"/>
      <c r="H127" s="21">
        <f>IF(B127="","",VALUE(LEFT(B127,4)))</f>
        <v/>
      </c>
      <c r="I127" s="21">
        <f>IF(B127="","",VALUE(MID(B127,6,2)))</f>
        <v/>
      </c>
    </row>
    <row r="128">
      <c r="A128" s="21">
        <f>IF(B128="","",ROW()-3)</f>
        <v/>
      </c>
      <c r="B128" s="29" t="n"/>
      <c r="C128" s="29" t="n"/>
      <c r="D128" s="31" t="n"/>
      <c r="E128" s="29" t="n"/>
      <c r="F128" s="29" t="n"/>
      <c r="G128" s="29" t="n"/>
      <c r="H128" s="21">
        <f>IF(B128="","",VALUE(LEFT(B128,4)))</f>
        <v/>
      </c>
      <c r="I128" s="21">
        <f>IF(B128="","",VALUE(MID(B128,6,2)))</f>
        <v/>
      </c>
    </row>
    <row r="129">
      <c r="A129" s="21">
        <f>IF(B129="","",ROW()-3)</f>
        <v/>
      </c>
      <c r="B129" s="29" t="n"/>
      <c r="C129" s="29" t="n"/>
      <c r="D129" s="31" t="n"/>
      <c r="E129" s="29" t="n"/>
      <c r="F129" s="29" t="n"/>
      <c r="G129" s="29" t="n"/>
      <c r="H129" s="21">
        <f>IF(B129="","",VALUE(LEFT(B129,4)))</f>
        <v/>
      </c>
      <c r="I129" s="21">
        <f>IF(B129="","",VALUE(MID(B129,6,2)))</f>
        <v/>
      </c>
    </row>
    <row r="130">
      <c r="A130" s="21">
        <f>IF(B130="","",ROW()-3)</f>
        <v/>
      </c>
      <c r="B130" s="29" t="n"/>
      <c r="C130" s="29" t="n"/>
      <c r="D130" s="31" t="n"/>
      <c r="E130" s="29" t="n"/>
      <c r="F130" s="29" t="n"/>
      <c r="G130" s="29" t="n"/>
      <c r="H130" s="21">
        <f>IF(B130="","",VALUE(LEFT(B130,4)))</f>
        <v/>
      </c>
      <c r="I130" s="21">
        <f>IF(B130="","",VALUE(MID(B130,6,2)))</f>
        <v/>
      </c>
    </row>
    <row r="131">
      <c r="A131" s="21">
        <f>IF(B131="","",ROW()-3)</f>
        <v/>
      </c>
      <c r="B131" s="29" t="n"/>
      <c r="C131" s="29" t="n"/>
      <c r="D131" s="31" t="n"/>
      <c r="E131" s="29" t="n"/>
      <c r="F131" s="29" t="n"/>
      <c r="G131" s="29" t="n"/>
      <c r="H131" s="21">
        <f>IF(B131="","",VALUE(LEFT(B131,4)))</f>
        <v/>
      </c>
      <c r="I131" s="21">
        <f>IF(B131="","",VALUE(MID(B131,6,2)))</f>
        <v/>
      </c>
    </row>
    <row r="132">
      <c r="A132" s="21">
        <f>IF(B132="","",ROW()-3)</f>
        <v/>
      </c>
      <c r="B132" s="29" t="n"/>
      <c r="C132" s="29" t="n"/>
      <c r="D132" s="31" t="n"/>
      <c r="E132" s="29" t="n"/>
      <c r="F132" s="29" t="n"/>
      <c r="G132" s="29" t="n"/>
      <c r="H132" s="21">
        <f>IF(B132="","",VALUE(LEFT(B132,4)))</f>
        <v/>
      </c>
      <c r="I132" s="21">
        <f>IF(B132="","",VALUE(MID(B132,6,2)))</f>
        <v/>
      </c>
    </row>
    <row r="133">
      <c r="A133" s="21">
        <f>IF(B133="","",ROW()-3)</f>
        <v/>
      </c>
      <c r="B133" s="29" t="n"/>
      <c r="C133" s="29" t="n"/>
      <c r="D133" s="31" t="n"/>
      <c r="E133" s="29" t="n"/>
      <c r="F133" s="29" t="n"/>
      <c r="G133" s="29" t="n"/>
      <c r="H133" s="21">
        <f>IF(B133="","",VALUE(LEFT(B133,4)))</f>
        <v/>
      </c>
      <c r="I133" s="21">
        <f>IF(B133="","",VALUE(MID(B133,6,2)))</f>
        <v/>
      </c>
    </row>
    <row r="134">
      <c r="A134" s="21">
        <f>IF(B134="","",ROW()-3)</f>
        <v/>
      </c>
      <c r="B134" s="29" t="n"/>
      <c r="C134" s="29" t="n"/>
      <c r="D134" s="31" t="n"/>
      <c r="E134" s="29" t="n"/>
      <c r="F134" s="29" t="n"/>
      <c r="G134" s="29" t="n"/>
      <c r="H134" s="21">
        <f>IF(B134="","",VALUE(LEFT(B134,4)))</f>
        <v/>
      </c>
      <c r="I134" s="21">
        <f>IF(B134="","",VALUE(MID(B134,6,2)))</f>
        <v/>
      </c>
    </row>
    <row r="135">
      <c r="A135" s="21">
        <f>IF(B135="","",ROW()-3)</f>
        <v/>
      </c>
      <c r="B135" s="29" t="n"/>
      <c r="C135" s="29" t="n"/>
      <c r="D135" s="31" t="n"/>
      <c r="E135" s="29" t="n"/>
      <c r="F135" s="29" t="n"/>
      <c r="G135" s="29" t="n"/>
      <c r="H135" s="21">
        <f>IF(B135="","",VALUE(LEFT(B135,4)))</f>
        <v/>
      </c>
      <c r="I135" s="21">
        <f>IF(B135="","",VALUE(MID(B135,6,2)))</f>
        <v/>
      </c>
    </row>
    <row r="136">
      <c r="A136" s="21">
        <f>IF(B136="","",ROW()-3)</f>
        <v/>
      </c>
      <c r="B136" s="29" t="n"/>
      <c r="C136" s="29" t="n"/>
      <c r="D136" s="31" t="n"/>
      <c r="E136" s="29" t="n"/>
      <c r="F136" s="29" t="n"/>
      <c r="G136" s="29" t="n"/>
      <c r="H136" s="21">
        <f>IF(B136="","",VALUE(LEFT(B136,4)))</f>
        <v/>
      </c>
      <c r="I136" s="21">
        <f>IF(B136="","",VALUE(MID(B136,6,2)))</f>
        <v/>
      </c>
    </row>
    <row r="137">
      <c r="A137" s="21">
        <f>IF(B137="","",ROW()-3)</f>
        <v/>
      </c>
      <c r="B137" s="29" t="n"/>
      <c r="C137" s="29" t="n"/>
      <c r="D137" s="31" t="n"/>
      <c r="E137" s="29" t="n"/>
      <c r="F137" s="29" t="n"/>
      <c r="G137" s="29" t="n"/>
      <c r="H137" s="21">
        <f>IF(B137="","",VALUE(LEFT(B137,4)))</f>
        <v/>
      </c>
      <c r="I137" s="21">
        <f>IF(B137="","",VALUE(MID(B137,6,2)))</f>
        <v/>
      </c>
    </row>
    <row r="138">
      <c r="A138" s="21">
        <f>IF(B138="","",ROW()-3)</f>
        <v/>
      </c>
      <c r="B138" s="29" t="n"/>
      <c r="C138" s="29" t="n"/>
      <c r="D138" s="31" t="n"/>
      <c r="E138" s="29" t="n"/>
      <c r="F138" s="29" t="n"/>
      <c r="G138" s="29" t="n"/>
      <c r="H138" s="21">
        <f>IF(B138="","",VALUE(LEFT(B138,4)))</f>
        <v/>
      </c>
      <c r="I138" s="21">
        <f>IF(B138="","",VALUE(MID(B138,6,2)))</f>
        <v/>
      </c>
    </row>
    <row r="139">
      <c r="A139" s="21">
        <f>IF(B139="","",ROW()-3)</f>
        <v/>
      </c>
      <c r="B139" s="29" t="n"/>
      <c r="C139" s="29" t="n"/>
      <c r="D139" s="31" t="n"/>
      <c r="E139" s="29" t="n"/>
      <c r="F139" s="29" t="n"/>
      <c r="G139" s="29" t="n"/>
      <c r="H139" s="21">
        <f>IF(B139="","",VALUE(LEFT(B139,4)))</f>
        <v/>
      </c>
      <c r="I139" s="21">
        <f>IF(B139="","",VALUE(MID(B139,6,2)))</f>
        <v/>
      </c>
    </row>
    <row r="140">
      <c r="A140" s="21">
        <f>IF(B140="","",ROW()-3)</f>
        <v/>
      </c>
      <c r="B140" s="29" t="n"/>
      <c r="C140" s="29" t="n"/>
      <c r="D140" s="31" t="n"/>
      <c r="E140" s="29" t="n"/>
      <c r="F140" s="29" t="n"/>
      <c r="G140" s="29" t="n"/>
      <c r="H140" s="21">
        <f>IF(B140="","",VALUE(LEFT(B140,4)))</f>
        <v/>
      </c>
      <c r="I140" s="21">
        <f>IF(B140="","",VALUE(MID(B140,6,2)))</f>
        <v/>
      </c>
    </row>
    <row r="141">
      <c r="A141" s="21">
        <f>IF(B141="","",ROW()-3)</f>
        <v/>
      </c>
      <c r="B141" s="29" t="n"/>
      <c r="C141" s="29" t="n"/>
      <c r="D141" s="31" t="n"/>
      <c r="E141" s="29" t="n"/>
      <c r="F141" s="29" t="n"/>
      <c r="G141" s="29" t="n"/>
      <c r="H141" s="21">
        <f>IF(B141="","",VALUE(LEFT(B141,4)))</f>
        <v/>
      </c>
      <c r="I141" s="21">
        <f>IF(B141="","",VALUE(MID(B141,6,2)))</f>
        <v/>
      </c>
    </row>
    <row r="142">
      <c r="A142" s="21">
        <f>IF(B142="","",ROW()-3)</f>
        <v/>
      </c>
      <c r="B142" s="29" t="n"/>
      <c r="C142" s="29" t="n"/>
      <c r="D142" s="31" t="n"/>
      <c r="E142" s="29" t="n"/>
      <c r="F142" s="29" t="n"/>
      <c r="G142" s="29" t="n"/>
      <c r="H142" s="21">
        <f>IF(B142="","",VALUE(LEFT(B142,4)))</f>
        <v/>
      </c>
      <c r="I142" s="21">
        <f>IF(B142="","",VALUE(MID(B142,6,2)))</f>
        <v/>
      </c>
    </row>
    <row r="143">
      <c r="A143" s="21">
        <f>IF(B143="","",ROW()-3)</f>
        <v/>
      </c>
      <c r="B143" s="29" t="n"/>
      <c r="C143" s="29" t="n"/>
      <c r="D143" s="31" t="n"/>
      <c r="E143" s="29" t="n"/>
      <c r="F143" s="29" t="n"/>
      <c r="G143" s="29" t="n"/>
      <c r="H143" s="21">
        <f>IF(B143="","",VALUE(LEFT(B143,4)))</f>
        <v/>
      </c>
      <c r="I143" s="21">
        <f>IF(B143="","",VALUE(MID(B143,6,2)))</f>
        <v/>
      </c>
    </row>
    <row r="144">
      <c r="A144" s="21">
        <f>IF(B144="","",ROW()-3)</f>
        <v/>
      </c>
      <c r="B144" s="29" t="n"/>
      <c r="C144" s="29" t="n"/>
      <c r="D144" s="31" t="n"/>
      <c r="E144" s="29" t="n"/>
      <c r="F144" s="29" t="n"/>
      <c r="G144" s="29" t="n"/>
      <c r="H144" s="21">
        <f>IF(B144="","",VALUE(LEFT(B144,4)))</f>
        <v/>
      </c>
      <c r="I144" s="21">
        <f>IF(B144="","",VALUE(MID(B144,6,2)))</f>
        <v/>
      </c>
    </row>
    <row r="145">
      <c r="A145" s="21">
        <f>IF(B145="","",ROW()-3)</f>
        <v/>
      </c>
      <c r="B145" s="29" t="n"/>
      <c r="C145" s="29" t="n"/>
      <c r="D145" s="31" t="n"/>
      <c r="E145" s="29" t="n"/>
      <c r="F145" s="29" t="n"/>
      <c r="G145" s="29" t="n"/>
      <c r="H145" s="21">
        <f>IF(B145="","",VALUE(LEFT(B145,4)))</f>
        <v/>
      </c>
      <c r="I145" s="21">
        <f>IF(B145="","",VALUE(MID(B145,6,2)))</f>
        <v/>
      </c>
    </row>
    <row r="146">
      <c r="A146" s="21">
        <f>IF(B146="","",ROW()-3)</f>
        <v/>
      </c>
      <c r="B146" s="29" t="n"/>
      <c r="C146" s="29" t="n"/>
      <c r="D146" s="31" t="n"/>
      <c r="E146" s="29" t="n"/>
      <c r="F146" s="29" t="n"/>
      <c r="G146" s="29" t="n"/>
      <c r="H146" s="21">
        <f>IF(B146="","",VALUE(LEFT(B146,4)))</f>
        <v/>
      </c>
      <c r="I146" s="21">
        <f>IF(B146="","",VALUE(MID(B146,6,2)))</f>
        <v/>
      </c>
    </row>
    <row r="147">
      <c r="A147" s="21">
        <f>IF(B147="","",ROW()-3)</f>
        <v/>
      </c>
      <c r="B147" s="29" t="n"/>
      <c r="C147" s="29" t="n"/>
      <c r="D147" s="31" t="n"/>
      <c r="E147" s="29" t="n"/>
      <c r="F147" s="29" t="n"/>
      <c r="G147" s="29" t="n"/>
      <c r="H147" s="21">
        <f>IF(B147="","",VALUE(LEFT(B147,4)))</f>
        <v/>
      </c>
      <c r="I147" s="21">
        <f>IF(B147="","",VALUE(MID(B147,6,2)))</f>
        <v/>
      </c>
    </row>
    <row r="148">
      <c r="A148" s="21">
        <f>IF(B148="","",ROW()-3)</f>
        <v/>
      </c>
      <c r="B148" s="29" t="n"/>
      <c r="C148" s="29" t="n"/>
      <c r="D148" s="31" t="n"/>
      <c r="E148" s="29" t="n"/>
      <c r="F148" s="29" t="n"/>
      <c r="G148" s="29" t="n"/>
      <c r="H148" s="21">
        <f>IF(B148="","",VALUE(LEFT(B148,4)))</f>
        <v/>
      </c>
      <c r="I148" s="21">
        <f>IF(B148="","",VALUE(MID(B148,6,2)))</f>
        <v/>
      </c>
    </row>
    <row r="149">
      <c r="A149" s="21">
        <f>IF(B149="","",ROW()-3)</f>
        <v/>
      </c>
      <c r="B149" s="29" t="n"/>
      <c r="C149" s="29" t="n"/>
      <c r="D149" s="31" t="n"/>
      <c r="E149" s="29" t="n"/>
      <c r="F149" s="29" t="n"/>
      <c r="G149" s="29" t="n"/>
      <c r="H149" s="21">
        <f>IF(B149="","",VALUE(LEFT(B149,4)))</f>
        <v/>
      </c>
      <c r="I149" s="21">
        <f>IF(B149="","",VALUE(MID(B149,6,2)))</f>
        <v/>
      </c>
    </row>
    <row r="150">
      <c r="A150" s="21">
        <f>IF(B150="","",ROW()-3)</f>
        <v/>
      </c>
      <c r="B150" s="29" t="n"/>
      <c r="C150" s="29" t="n"/>
      <c r="D150" s="31" t="n"/>
      <c r="E150" s="29" t="n"/>
      <c r="F150" s="29" t="n"/>
      <c r="G150" s="29" t="n"/>
      <c r="H150" s="21">
        <f>IF(B150="","",VALUE(LEFT(B150,4)))</f>
        <v/>
      </c>
      <c r="I150" s="21">
        <f>IF(B150="","",VALUE(MID(B150,6,2)))</f>
        <v/>
      </c>
    </row>
    <row r="151">
      <c r="A151" s="21">
        <f>IF(B151="","",ROW()-3)</f>
        <v/>
      </c>
      <c r="B151" s="29" t="n"/>
      <c r="C151" s="29" t="n"/>
      <c r="D151" s="31" t="n"/>
      <c r="E151" s="29" t="n"/>
      <c r="F151" s="29" t="n"/>
      <c r="G151" s="29" t="n"/>
      <c r="H151" s="21">
        <f>IF(B151="","",VALUE(LEFT(B151,4)))</f>
        <v/>
      </c>
      <c r="I151" s="21">
        <f>IF(B151="","",VALUE(MID(B151,6,2)))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I151"/>
  <mergeCells count="2">
    <mergeCell ref="A2:N2"/>
    <mergeCell ref="A1:N1"/>
  </mergeCells>
  <dataValidations count="4">
    <dataValidation sqref="B4:B151" showDropDown="0" showInputMessage="0" showErrorMessage="0" allowBlank="1" type="custom">
      <formula1>AND(LEN(B4)=10,MID(B4,5,1)="/",MID(B4,8,1)="/")</formula1>
    </dataValidation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=ExpenseList</formula1>
    </dataValidation>
    <dataValidation sqref="E4:E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=StaffList</formula1>
    </dataValidation>
    <dataValidation sqref="F4:F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=PayList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P1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6" customWidth="1" min="5" max="5"/>
    <col width="10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28" customWidth="1" min="16" max="16"/>
  </cols>
  <sheetData>
    <row r="1" ht="28" customHeight="1">
      <c r="A1" s="1" t="inlineStr">
        <is>
          <t>بانک تأمین‌کنندگان</t>
        </is>
      </c>
    </row>
    <row r="2" ht="20" customHeight="1">
      <c r="A2" s="22" t="inlineStr">
        <is>
          <t>امتیاز کل میانگین ۵ معیار ۱ تا ۱۰ است. از همین فهرست در برگه خرید نام تأمین‌کننده انتخاب می‌شود.</t>
        </is>
      </c>
    </row>
    <row r="3" ht="28" customHeight="1">
      <c r="A3" s="3" t="inlineStr">
        <is>
          <t>نام</t>
        </is>
      </c>
      <c r="B3" s="3" t="inlineStr">
        <is>
          <t>شماره تماس</t>
        </is>
      </c>
      <c r="C3" s="3" t="inlineStr">
        <is>
          <t>شهر</t>
        </is>
      </c>
      <c r="D3" s="3" t="inlineStr">
        <is>
          <t>نوع محصول</t>
        </is>
      </c>
      <c r="E3" s="3" t="inlineStr">
        <is>
          <t>قیمت شاخص (کیلو)</t>
        </is>
      </c>
      <c r="F3" s="3" t="inlineStr">
        <is>
          <t>کیفیت</t>
        </is>
      </c>
      <c r="G3" s="3" t="inlineStr">
        <is>
          <t>شرایط پرداخت</t>
        </is>
      </c>
      <c r="H3" s="3" t="inlineStr">
        <is>
          <t>زمان تحویل (روز)</t>
        </is>
      </c>
      <c r="I3" s="3" t="inlineStr">
        <is>
          <t>امتیاز قیمت</t>
        </is>
      </c>
      <c r="J3" s="3" t="inlineStr">
        <is>
          <t>امتیاز کیفیت</t>
        </is>
      </c>
      <c r="K3" s="3" t="inlineStr">
        <is>
          <t>امتیاز تحویل</t>
        </is>
      </c>
      <c r="L3" s="3" t="inlineStr">
        <is>
          <t>امتیاز ثبات</t>
        </is>
      </c>
      <c r="M3" s="3" t="inlineStr">
        <is>
          <t>امتیاز پرداخت</t>
        </is>
      </c>
      <c r="N3" s="3" t="inlineStr">
        <is>
          <t>امتیاز کل</t>
        </is>
      </c>
      <c r="O3" s="3" t="inlineStr">
        <is>
          <t>وضعیت تأیید</t>
        </is>
      </c>
      <c r="P3" s="3" t="inlineStr">
        <is>
          <t>توضیحات</t>
        </is>
      </c>
    </row>
    <row r="4">
      <c r="A4" s="29" t="inlineStr">
        <is>
          <t>کشاورز بروجرد</t>
        </is>
      </c>
      <c r="B4" s="29" t="inlineStr">
        <is>
          <t>0916-200-1111</t>
        </is>
      </c>
      <c r="C4" s="29" t="inlineStr">
        <is>
          <t>بروجرد</t>
        </is>
      </c>
      <c r="D4" s="29" t="inlineStr">
        <is>
          <t>لوبیا چیتی</t>
        </is>
      </c>
      <c r="E4" s="31" t="n">
        <v>92000</v>
      </c>
      <c r="F4" s="29" t="inlineStr">
        <is>
          <t>عالی</t>
        </is>
      </c>
      <c r="G4" s="29" t="inlineStr">
        <is>
          <t>نقد</t>
        </is>
      </c>
      <c r="H4" s="28" t="n">
        <v>2</v>
      </c>
      <c r="I4" s="28" t="n">
        <v>8</v>
      </c>
      <c r="J4" s="28" t="n">
        <v>9</v>
      </c>
      <c r="K4" s="28" t="n">
        <v>9</v>
      </c>
      <c r="L4" s="28" t="n">
        <v>8</v>
      </c>
      <c r="M4" s="28" t="n">
        <v>7</v>
      </c>
      <c r="N4" s="45">
        <f>IF(A4="","",IF(COUNT(I4:M4)=0,"",AVERAGE(I4:M4)))</f>
        <v/>
      </c>
      <c r="O4" s="29" t="inlineStr">
        <is>
          <t>تأیید شده</t>
        </is>
      </c>
      <c r="P4" s="29" t="inlineStr">
        <is>
          <t>تأمین‌کننده اصلی لوبیا</t>
        </is>
      </c>
    </row>
    <row r="5">
      <c r="A5" s="29" t="inlineStr">
        <is>
          <t>اتحادیه نخود کوهدشت</t>
        </is>
      </c>
      <c r="B5" s="29" t="inlineStr">
        <is>
          <t>0916-200-2222</t>
        </is>
      </c>
      <c r="C5" s="29" t="inlineStr">
        <is>
          <t>کوهدشت</t>
        </is>
      </c>
      <c r="D5" s="29" t="inlineStr">
        <is>
          <t>نخود</t>
        </is>
      </c>
      <c r="E5" s="31" t="n">
        <v>68000</v>
      </c>
      <c r="F5" s="29" t="inlineStr">
        <is>
          <t>خوب</t>
        </is>
      </c>
      <c r="G5" s="29" t="inlineStr">
        <is>
          <t>چک ۱۰ روزه</t>
        </is>
      </c>
      <c r="H5" s="28" t="n">
        <v>3</v>
      </c>
      <c r="I5" s="28" t="n">
        <v>9</v>
      </c>
      <c r="J5" s="28" t="n">
        <v>8</v>
      </c>
      <c r="K5" s="28" t="n">
        <v>8</v>
      </c>
      <c r="L5" s="28" t="n">
        <v>8</v>
      </c>
      <c r="M5" s="28" t="n">
        <v>8</v>
      </c>
      <c r="N5" s="45">
        <f>IF(A5="","",IF(COUNT(I5:M5)=0,"",AVERAGE(I5:M5)))</f>
        <v/>
      </c>
      <c r="O5" s="29" t="inlineStr">
        <is>
          <t>تأیید شده</t>
        </is>
      </c>
      <c r="P5" s="29" t="inlineStr"/>
    </row>
    <row r="6">
      <c r="A6" s="29" t="inlineStr">
        <is>
          <t>بازرگانی حبوبات خرم‌آباد</t>
        </is>
      </c>
      <c r="B6" s="29" t="inlineStr">
        <is>
          <t>0916-200-3333</t>
        </is>
      </c>
      <c r="C6" s="29" t="inlineStr">
        <is>
          <t>خرم‌آباد</t>
        </is>
      </c>
      <c r="D6" s="29" t="inlineStr">
        <is>
          <t>عدس</t>
        </is>
      </c>
      <c r="E6" s="31" t="n">
        <v>76000</v>
      </c>
      <c r="F6" s="29" t="inlineStr">
        <is>
          <t>خوب</t>
        </is>
      </c>
      <c r="G6" s="29" t="inlineStr">
        <is>
          <t>نقد</t>
        </is>
      </c>
      <c r="H6" s="28" t="n">
        <v>1</v>
      </c>
      <c r="I6" s="28" t="n">
        <v>7</v>
      </c>
      <c r="J6" s="28" t="n">
        <v>8</v>
      </c>
      <c r="K6" s="28" t="n">
        <v>9</v>
      </c>
      <c r="L6" s="28" t="n">
        <v>7</v>
      </c>
      <c r="M6" s="28" t="n">
        <v>7</v>
      </c>
      <c r="N6" s="45">
        <f>IF(A6="","",IF(COUNT(I6:M6)=0,"",AVERAGE(I6:M6)))</f>
        <v/>
      </c>
      <c r="O6" s="29" t="inlineStr">
        <is>
          <t>تأیید شده</t>
        </is>
      </c>
      <c r="P6" s="29" t="inlineStr"/>
    </row>
    <row r="7">
      <c r="A7" s="29" t="inlineStr">
        <is>
          <t>تأمین عدس دزفول</t>
        </is>
      </c>
      <c r="B7" s="29" t="inlineStr">
        <is>
          <t>0916-200-4444</t>
        </is>
      </c>
      <c r="C7" s="29" t="inlineStr">
        <is>
          <t>دزفول</t>
        </is>
      </c>
      <c r="D7" s="29" t="inlineStr">
        <is>
          <t>عدس</t>
        </is>
      </c>
      <c r="E7" s="31" t="n">
        <v>79000</v>
      </c>
      <c r="F7" s="29" t="inlineStr">
        <is>
          <t>متوسط</t>
        </is>
      </c>
      <c r="G7" s="29" t="inlineStr">
        <is>
          <t>نقد</t>
        </is>
      </c>
      <c r="H7" s="28" t="n">
        <v>4</v>
      </c>
      <c r="I7" s="28" t="n">
        <v>6</v>
      </c>
      <c r="J7" s="28" t="n">
        <v>5</v>
      </c>
      <c r="K7" s="28" t="n">
        <v>6</v>
      </c>
      <c r="L7" s="28" t="n">
        <v>5</v>
      </c>
      <c r="M7" s="28" t="n">
        <v>6</v>
      </c>
      <c r="N7" s="45">
        <f>IF(A7="","",IF(COUNT(I7:M7)=0,"",AVERAGE(I7:M7)))</f>
        <v/>
      </c>
      <c r="O7" s="29" t="inlineStr">
        <is>
          <t>در انتظار</t>
        </is>
      </c>
      <c r="P7" s="29" t="inlineStr">
        <is>
          <t>یک بار رد شده</t>
        </is>
      </c>
    </row>
    <row r="8">
      <c r="A8" s="29" t="inlineStr">
        <is>
          <t>کشت و صنعت لرستان</t>
        </is>
      </c>
      <c r="B8" s="29" t="inlineStr">
        <is>
          <t>0916-200-5555</t>
        </is>
      </c>
      <c r="C8" s="29" t="inlineStr">
        <is>
          <t>خرم‌آباد</t>
        </is>
      </c>
      <c r="D8" s="29" t="inlineStr">
        <is>
          <t>لوبیا سفید</t>
        </is>
      </c>
      <c r="E8" s="31" t="n">
        <v>90000</v>
      </c>
      <c r="F8" s="29" t="inlineStr">
        <is>
          <t>عالی</t>
        </is>
      </c>
      <c r="G8" s="29" t="inlineStr">
        <is>
          <t>چک ۲۰ روزه</t>
        </is>
      </c>
      <c r="H8" s="28" t="n">
        <v>5</v>
      </c>
      <c r="I8" s="28" t="n">
        <v>7</v>
      </c>
      <c r="J8" s="28" t="n">
        <v>9</v>
      </c>
      <c r="K8" s="28" t="n">
        <v>7</v>
      </c>
      <c r="L8" s="28" t="n">
        <v>8</v>
      </c>
      <c r="M8" s="28" t="n">
        <v>9</v>
      </c>
      <c r="N8" s="45">
        <f>IF(A8="","",IF(COUNT(I8:M8)=0,"",AVERAGE(I8:M8)))</f>
        <v/>
      </c>
      <c r="O8" s="29" t="inlineStr">
        <is>
          <t>تأیید شده</t>
        </is>
      </c>
      <c r="P8" s="29" t="inlineStr"/>
    </row>
    <row r="9">
      <c r="A9" s="29" t="inlineStr">
        <is>
          <t>موجودی اول دوره</t>
        </is>
      </c>
      <c r="B9" s="29" t="inlineStr">
        <is>
          <t>—</t>
        </is>
      </c>
      <c r="C9" s="29" t="inlineStr">
        <is>
          <t>پلدختر</t>
        </is>
      </c>
      <c r="D9" s="29" t="inlineStr">
        <is>
          <t>همه</t>
        </is>
      </c>
      <c r="E9" s="31" t="n">
        <v>0</v>
      </c>
      <c r="F9" s="29" t="inlineStr">
        <is>
          <t>خوب</t>
        </is>
      </c>
      <c r="G9" s="29" t="inlineStr">
        <is>
          <t>—</t>
        </is>
      </c>
      <c r="H9" s="28" t="n">
        <v>0</v>
      </c>
      <c r="I9" s="28" t="n">
        <v>8</v>
      </c>
      <c r="J9" s="28" t="n">
        <v>8</v>
      </c>
      <c r="K9" s="28" t="n">
        <v>8</v>
      </c>
      <c r="L9" s="28" t="n">
        <v>8</v>
      </c>
      <c r="M9" s="28" t="n">
        <v>8</v>
      </c>
      <c r="N9" s="45">
        <f>IF(A9="","",IF(COUNT(I9:M9)=0,"",AVERAGE(I9:M9)))</f>
        <v/>
      </c>
      <c r="O9" s="29" t="inlineStr">
        <is>
          <t>تأیید شده</t>
        </is>
      </c>
      <c r="P9" s="29" t="inlineStr">
        <is>
          <t>ردیف سیستمی — حذف نشود</t>
        </is>
      </c>
    </row>
    <row r="10">
      <c r="A10" s="29" t="n"/>
      <c r="B10" s="29" t="n"/>
      <c r="C10" s="29" t="n"/>
      <c r="D10" s="29" t="n"/>
      <c r="E10" s="31" t="n"/>
      <c r="F10" s="29" t="n"/>
      <c r="G10" s="29" t="n"/>
      <c r="H10" s="28" t="n"/>
      <c r="I10" s="28" t="n"/>
      <c r="J10" s="28" t="n"/>
      <c r="K10" s="28" t="n"/>
      <c r="L10" s="28" t="n"/>
      <c r="M10" s="28" t="n"/>
      <c r="N10" s="45">
        <f>IF(A10="","",IF(COUNT(I10:M10)=0,"",AVERAGE(I10:M10)))</f>
        <v/>
      </c>
      <c r="O10" s="29" t="n"/>
      <c r="P10" s="29" t="n"/>
    </row>
    <row r="11">
      <c r="A11" s="29" t="n"/>
      <c r="B11" s="29" t="n"/>
      <c r="C11" s="29" t="n"/>
      <c r="D11" s="29" t="n"/>
      <c r="E11" s="31" t="n"/>
      <c r="F11" s="29" t="n"/>
      <c r="G11" s="29" t="n"/>
      <c r="H11" s="28" t="n"/>
      <c r="I11" s="28" t="n"/>
      <c r="J11" s="28" t="n"/>
      <c r="K11" s="28" t="n"/>
      <c r="L11" s="28" t="n"/>
      <c r="M11" s="28" t="n"/>
      <c r="N11" s="45">
        <f>IF(A11="","",IF(COUNT(I11:M11)=0,"",AVERAGE(I11:M11)))</f>
        <v/>
      </c>
      <c r="O11" s="29" t="n"/>
      <c r="P11" s="29" t="n"/>
    </row>
    <row r="12">
      <c r="A12" s="29" t="n"/>
      <c r="B12" s="29" t="n"/>
      <c r="C12" s="29" t="n"/>
      <c r="D12" s="29" t="n"/>
      <c r="E12" s="31" t="n"/>
      <c r="F12" s="29" t="n"/>
      <c r="G12" s="29" t="n"/>
      <c r="H12" s="28" t="n"/>
      <c r="I12" s="28" t="n"/>
      <c r="J12" s="28" t="n"/>
      <c r="K12" s="28" t="n"/>
      <c r="L12" s="28" t="n"/>
      <c r="M12" s="28" t="n"/>
      <c r="N12" s="45">
        <f>IF(A12="","",IF(COUNT(I12:M12)=0,"",AVERAGE(I12:M12)))</f>
        <v/>
      </c>
      <c r="O12" s="29" t="n"/>
      <c r="P12" s="29" t="n"/>
    </row>
    <row r="13">
      <c r="A13" s="29" t="n"/>
      <c r="B13" s="29" t="n"/>
      <c r="C13" s="29" t="n"/>
      <c r="D13" s="29" t="n"/>
      <c r="E13" s="31" t="n"/>
      <c r="F13" s="29" t="n"/>
      <c r="G13" s="29" t="n"/>
      <c r="H13" s="28" t="n"/>
      <c r="I13" s="28" t="n"/>
      <c r="J13" s="28" t="n"/>
      <c r="K13" s="28" t="n"/>
      <c r="L13" s="28" t="n"/>
      <c r="M13" s="28" t="n"/>
      <c r="N13" s="45">
        <f>IF(A13="","",IF(COUNT(I13:M13)=0,"",AVERAGE(I13:M13)))</f>
        <v/>
      </c>
      <c r="O13" s="29" t="n"/>
      <c r="P13" s="29" t="n"/>
    </row>
    <row r="14">
      <c r="A14" s="29" t="n"/>
      <c r="B14" s="29" t="n"/>
      <c r="C14" s="29" t="n"/>
      <c r="D14" s="29" t="n"/>
      <c r="E14" s="31" t="n"/>
      <c r="F14" s="29" t="n"/>
      <c r="G14" s="29" t="n"/>
      <c r="H14" s="28" t="n"/>
      <c r="I14" s="28" t="n"/>
      <c r="J14" s="28" t="n"/>
      <c r="K14" s="28" t="n"/>
      <c r="L14" s="28" t="n"/>
      <c r="M14" s="28" t="n"/>
      <c r="N14" s="45">
        <f>IF(A14="","",IF(COUNT(I14:M14)=0,"",AVERAGE(I14:M14)))</f>
        <v/>
      </c>
      <c r="O14" s="29" t="n"/>
      <c r="P14" s="29" t="n"/>
    </row>
    <row r="15">
      <c r="A15" s="29" t="n"/>
      <c r="B15" s="29" t="n"/>
      <c r="C15" s="29" t="n"/>
      <c r="D15" s="29" t="n"/>
      <c r="E15" s="31" t="n"/>
      <c r="F15" s="29" t="n"/>
      <c r="G15" s="29" t="n"/>
      <c r="H15" s="28" t="n"/>
      <c r="I15" s="28" t="n"/>
      <c r="J15" s="28" t="n"/>
      <c r="K15" s="28" t="n"/>
      <c r="L15" s="28" t="n"/>
      <c r="M15" s="28" t="n"/>
      <c r="N15" s="45">
        <f>IF(A15="","",IF(COUNT(I15:M15)=0,"",AVERAGE(I15:M15)))</f>
        <v/>
      </c>
      <c r="O15" s="29" t="n"/>
      <c r="P15" s="29" t="n"/>
    </row>
    <row r="16">
      <c r="A16" s="29" t="n"/>
      <c r="B16" s="29" t="n"/>
      <c r="C16" s="29" t="n"/>
      <c r="D16" s="29" t="n"/>
      <c r="E16" s="31" t="n"/>
      <c r="F16" s="29" t="n"/>
      <c r="G16" s="29" t="n"/>
      <c r="H16" s="28" t="n"/>
      <c r="I16" s="28" t="n"/>
      <c r="J16" s="28" t="n"/>
      <c r="K16" s="28" t="n"/>
      <c r="L16" s="28" t="n"/>
      <c r="M16" s="28" t="n"/>
      <c r="N16" s="45">
        <f>IF(A16="","",IF(COUNT(I16:M16)=0,"",AVERAGE(I16:M16)))</f>
        <v/>
      </c>
      <c r="O16" s="29" t="n"/>
      <c r="P16" s="29" t="n"/>
    </row>
    <row r="17">
      <c r="A17" s="29" t="n"/>
      <c r="B17" s="29" t="n"/>
      <c r="C17" s="29" t="n"/>
      <c r="D17" s="29" t="n"/>
      <c r="E17" s="31" t="n"/>
      <c r="F17" s="29" t="n"/>
      <c r="G17" s="29" t="n"/>
      <c r="H17" s="28" t="n"/>
      <c r="I17" s="28" t="n"/>
      <c r="J17" s="28" t="n"/>
      <c r="K17" s="28" t="n"/>
      <c r="L17" s="28" t="n"/>
      <c r="M17" s="28" t="n"/>
      <c r="N17" s="45">
        <f>IF(A17="","",IF(COUNT(I17:M17)=0,"",AVERAGE(I17:M17)))</f>
        <v/>
      </c>
      <c r="O17" s="29" t="n"/>
      <c r="P17" s="29" t="n"/>
    </row>
    <row r="18">
      <c r="A18" s="29" t="n"/>
      <c r="B18" s="29" t="n"/>
      <c r="C18" s="29" t="n"/>
      <c r="D18" s="29" t="n"/>
      <c r="E18" s="31" t="n"/>
      <c r="F18" s="29" t="n"/>
      <c r="G18" s="29" t="n"/>
      <c r="H18" s="28" t="n"/>
      <c r="I18" s="28" t="n"/>
      <c r="J18" s="28" t="n"/>
      <c r="K18" s="28" t="n"/>
      <c r="L18" s="28" t="n"/>
      <c r="M18" s="28" t="n"/>
      <c r="N18" s="45">
        <f>IF(A18="","",IF(COUNT(I18:M18)=0,"",AVERAGE(I18:M18)))</f>
        <v/>
      </c>
      <c r="O18" s="29" t="n"/>
      <c r="P18" s="29" t="n"/>
    </row>
    <row r="19">
      <c r="A19" s="29" t="n"/>
      <c r="B19" s="29" t="n"/>
      <c r="C19" s="29" t="n"/>
      <c r="D19" s="29" t="n"/>
      <c r="E19" s="31" t="n"/>
      <c r="F19" s="29" t="n"/>
      <c r="G19" s="29" t="n"/>
      <c r="H19" s="28" t="n"/>
      <c r="I19" s="28" t="n"/>
      <c r="J19" s="28" t="n"/>
      <c r="K19" s="28" t="n"/>
      <c r="L19" s="28" t="n"/>
      <c r="M19" s="28" t="n"/>
      <c r="N19" s="45">
        <f>IF(A19="","",IF(COUNT(I19:M19)=0,"",AVERAGE(I19:M19)))</f>
        <v/>
      </c>
      <c r="O19" s="29" t="n"/>
      <c r="P19" s="29" t="n"/>
    </row>
    <row r="20">
      <c r="A20" s="29" t="n"/>
      <c r="B20" s="29" t="n"/>
      <c r="C20" s="29" t="n"/>
      <c r="D20" s="29" t="n"/>
      <c r="E20" s="31" t="n"/>
      <c r="F20" s="29" t="n"/>
      <c r="G20" s="29" t="n"/>
      <c r="H20" s="28" t="n"/>
      <c r="I20" s="28" t="n"/>
      <c r="J20" s="28" t="n"/>
      <c r="K20" s="28" t="n"/>
      <c r="L20" s="28" t="n"/>
      <c r="M20" s="28" t="n"/>
      <c r="N20" s="45">
        <f>IF(A20="","",IF(COUNT(I20:M20)=0,"",AVERAGE(I20:M20)))</f>
        <v/>
      </c>
      <c r="O20" s="29" t="n"/>
      <c r="P20" s="29" t="n"/>
    </row>
    <row r="21">
      <c r="A21" s="29" t="n"/>
      <c r="B21" s="29" t="n"/>
      <c r="C21" s="29" t="n"/>
      <c r="D21" s="29" t="n"/>
      <c r="E21" s="31" t="n"/>
      <c r="F21" s="29" t="n"/>
      <c r="G21" s="29" t="n"/>
      <c r="H21" s="28" t="n"/>
      <c r="I21" s="28" t="n"/>
      <c r="J21" s="28" t="n"/>
      <c r="K21" s="28" t="n"/>
      <c r="L21" s="28" t="n"/>
      <c r="M21" s="28" t="n"/>
      <c r="N21" s="45">
        <f>IF(A21="","",IF(COUNT(I21:M21)=0,"",AVERAGE(I21:M21)))</f>
        <v/>
      </c>
      <c r="O21" s="29" t="n"/>
      <c r="P21" s="29" t="n"/>
    </row>
    <row r="22">
      <c r="A22" s="29" t="n"/>
      <c r="B22" s="29" t="n"/>
      <c r="C22" s="29" t="n"/>
      <c r="D22" s="29" t="n"/>
      <c r="E22" s="31" t="n"/>
      <c r="F22" s="29" t="n"/>
      <c r="G22" s="29" t="n"/>
      <c r="H22" s="28" t="n"/>
      <c r="I22" s="28" t="n"/>
      <c r="J22" s="28" t="n"/>
      <c r="K22" s="28" t="n"/>
      <c r="L22" s="28" t="n"/>
      <c r="M22" s="28" t="n"/>
      <c r="N22" s="45">
        <f>IF(A22="","",IF(COUNT(I22:M22)=0,"",AVERAGE(I22:M22)))</f>
        <v/>
      </c>
      <c r="O22" s="29" t="n"/>
      <c r="P22" s="29" t="n"/>
    </row>
    <row r="23">
      <c r="A23" s="29" t="n"/>
      <c r="B23" s="29" t="n"/>
      <c r="C23" s="29" t="n"/>
      <c r="D23" s="29" t="n"/>
      <c r="E23" s="31" t="n"/>
      <c r="F23" s="29" t="n"/>
      <c r="G23" s="29" t="n"/>
      <c r="H23" s="28" t="n"/>
      <c r="I23" s="28" t="n"/>
      <c r="J23" s="28" t="n"/>
      <c r="K23" s="28" t="n"/>
      <c r="L23" s="28" t="n"/>
      <c r="M23" s="28" t="n"/>
      <c r="N23" s="45">
        <f>IF(A23="","",IF(COUNT(I23:M23)=0,"",AVERAGE(I23:M23)))</f>
        <v/>
      </c>
      <c r="O23" s="29" t="n"/>
      <c r="P23" s="29" t="n"/>
    </row>
    <row r="24">
      <c r="A24" s="29" t="n"/>
      <c r="B24" s="29" t="n"/>
      <c r="C24" s="29" t="n"/>
      <c r="D24" s="29" t="n"/>
      <c r="E24" s="31" t="n"/>
      <c r="F24" s="29" t="n"/>
      <c r="G24" s="29" t="n"/>
      <c r="H24" s="28" t="n"/>
      <c r="I24" s="28" t="n"/>
      <c r="J24" s="28" t="n"/>
      <c r="K24" s="28" t="n"/>
      <c r="L24" s="28" t="n"/>
      <c r="M24" s="28" t="n"/>
      <c r="N24" s="45">
        <f>IF(A24="","",IF(COUNT(I24:M24)=0,"",AVERAGE(I24:M24)))</f>
        <v/>
      </c>
      <c r="O24" s="29" t="n"/>
      <c r="P24" s="29" t="n"/>
    </row>
    <row r="25">
      <c r="A25" s="29" t="n"/>
      <c r="B25" s="29" t="n"/>
      <c r="C25" s="29" t="n"/>
      <c r="D25" s="29" t="n"/>
      <c r="E25" s="31" t="n"/>
      <c r="F25" s="29" t="n"/>
      <c r="G25" s="29" t="n"/>
      <c r="H25" s="28" t="n"/>
      <c r="I25" s="28" t="n"/>
      <c r="J25" s="28" t="n"/>
      <c r="K25" s="28" t="n"/>
      <c r="L25" s="28" t="n"/>
      <c r="M25" s="28" t="n"/>
      <c r="N25" s="45">
        <f>IF(A25="","",IF(COUNT(I25:M25)=0,"",AVERAGE(I25:M25)))</f>
        <v/>
      </c>
      <c r="O25" s="29" t="n"/>
      <c r="P25" s="29" t="n"/>
    </row>
    <row r="26">
      <c r="A26" s="29" t="n"/>
      <c r="B26" s="29" t="n"/>
      <c r="C26" s="29" t="n"/>
      <c r="D26" s="29" t="n"/>
      <c r="E26" s="31" t="n"/>
      <c r="F26" s="29" t="n"/>
      <c r="G26" s="29" t="n"/>
      <c r="H26" s="28" t="n"/>
      <c r="I26" s="28" t="n"/>
      <c r="J26" s="28" t="n"/>
      <c r="K26" s="28" t="n"/>
      <c r="L26" s="28" t="n"/>
      <c r="M26" s="28" t="n"/>
      <c r="N26" s="45">
        <f>IF(A26="","",IF(COUNT(I26:M26)=0,"",AVERAGE(I26:M26)))</f>
        <v/>
      </c>
      <c r="O26" s="29" t="n"/>
      <c r="P26" s="29" t="n"/>
    </row>
    <row r="27">
      <c r="A27" s="29" t="n"/>
      <c r="B27" s="29" t="n"/>
      <c r="C27" s="29" t="n"/>
      <c r="D27" s="29" t="n"/>
      <c r="E27" s="31" t="n"/>
      <c r="F27" s="29" t="n"/>
      <c r="G27" s="29" t="n"/>
      <c r="H27" s="28" t="n"/>
      <c r="I27" s="28" t="n"/>
      <c r="J27" s="28" t="n"/>
      <c r="K27" s="28" t="n"/>
      <c r="L27" s="28" t="n"/>
      <c r="M27" s="28" t="n"/>
      <c r="N27" s="45">
        <f>IF(A27="","",IF(COUNT(I27:M27)=0,"",AVERAGE(I27:M27)))</f>
        <v/>
      </c>
      <c r="O27" s="29" t="n"/>
      <c r="P27" s="29" t="n"/>
    </row>
    <row r="28">
      <c r="A28" s="29" t="n"/>
      <c r="B28" s="29" t="n"/>
      <c r="C28" s="29" t="n"/>
      <c r="D28" s="29" t="n"/>
      <c r="E28" s="31" t="n"/>
      <c r="F28" s="29" t="n"/>
      <c r="G28" s="29" t="n"/>
      <c r="H28" s="28" t="n"/>
      <c r="I28" s="28" t="n"/>
      <c r="J28" s="28" t="n"/>
      <c r="K28" s="28" t="n"/>
      <c r="L28" s="28" t="n"/>
      <c r="M28" s="28" t="n"/>
      <c r="N28" s="45">
        <f>IF(A28="","",IF(COUNT(I28:M28)=0,"",AVERAGE(I28:M28)))</f>
        <v/>
      </c>
      <c r="O28" s="29" t="n"/>
      <c r="P28" s="29" t="n"/>
    </row>
    <row r="29">
      <c r="A29" s="29" t="n"/>
      <c r="B29" s="29" t="n"/>
      <c r="C29" s="29" t="n"/>
      <c r="D29" s="29" t="n"/>
      <c r="E29" s="31" t="n"/>
      <c r="F29" s="29" t="n"/>
      <c r="G29" s="29" t="n"/>
      <c r="H29" s="28" t="n"/>
      <c r="I29" s="28" t="n"/>
      <c r="J29" s="28" t="n"/>
      <c r="K29" s="28" t="n"/>
      <c r="L29" s="28" t="n"/>
      <c r="M29" s="28" t="n"/>
      <c r="N29" s="45">
        <f>IF(A29="","",IF(COUNT(I29:M29)=0,"",AVERAGE(I29:M29)))</f>
        <v/>
      </c>
      <c r="O29" s="29" t="n"/>
      <c r="P29" s="29" t="n"/>
    </row>
    <row r="30">
      <c r="A30" s="29" t="n"/>
      <c r="B30" s="29" t="n"/>
      <c r="C30" s="29" t="n"/>
      <c r="D30" s="29" t="n"/>
      <c r="E30" s="31" t="n"/>
      <c r="F30" s="29" t="n"/>
      <c r="G30" s="29" t="n"/>
      <c r="H30" s="28" t="n"/>
      <c r="I30" s="28" t="n"/>
      <c r="J30" s="28" t="n"/>
      <c r="K30" s="28" t="n"/>
      <c r="L30" s="28" t="n"/>
      <c r="M30" s="28" t="n"/>
      <c r="N30" s="45">
        <f>IF(A30="","",IF(COUNT(I30:M30)=0,"",AVERAGE(I30:M30)))</f>
        <v/>
      </c>
      <c r="O30" s="29" t="n"/>
      <c r="P30" s="29" t="n"/>
    </row>
    <row r="31">
      <c r="A31" s="29" t="n"/>
      <c r="B31" s="29" t="n"/>
      <c r="C31" s="29" t="n"/>
      <c r="D31" s="29" t="n"/>
      <c r="E31" s="31" t="n"/>
      <c r="F31" s="29" t="n"/>
      <c r="G31" s="29" t="n"/>
      <c r="H31" s="28" t="n"/>
      <c r="I31" s="28" t="n"/>
      <c r="J31" s="28" t="n"/>
      <c r="K31" s="28" t="n"/>
      <c r="L31" s="28" t="n"/>
      <c r="M31" s="28" t="n"/>
      <c r="N31" s="45">
        <f>IF(A31="","",IF(COUNT(I31:M31)=0,"",AVERAGE(I31:M31)))</f>
        <v/>
      </c>
      <c r="O31" s="29" t="n"/>
      <c r="P31" s="29" t="n"/>
    </row>
    <row r="32">
      <c r="A32" s="29" t="n"/>
      <c r="B32" s="29" t="n"/>
      <c r="C32" s="29" t="n"/>
      <c r="D32" s="29" t="n"/>
      <c r="E32" s="31" t="n"/>
      <c r="F32" s="29" t="n"/>
      <c r="G32" s="29" t="n"/>
      <c r="H32" s="28" t="n"/>
      <c r="I32" s="28" t="n"/>
      <c r="J32" s="28" t="n"/>
      <c r="K32" s="28" t="n"/>
      <c r="L32" s="28" t="n"/>
      <c r="M32" s="28" t="n"/>
      <c r="N32" s="45">
        <f>IF(A32="","",IF(COUNT(I32:M32)=0,"",AVERAGE(I32:M32)))</f>
        <v/>
      </c>
      <c r="O32" s="29" t="n"/>
      <c r="P32" s="29" t="n"/>
    </row>
    <row r="33">
      <c r="A33" s="29" t="n"/>
      <c r="B33" s="29" t="n"/>
      <c r="C33" s="29" t="n"/>
      <c r="D33" s="29" t="n"/>
      <c r="E33" s="31" t="n"/>
      <c r="F33" s="29" t="n"/>
      <c r="G33" s="29" t="n"/>
      <c r="H33" s="28" t="n"/>
      <c r="I33" s="28" t="n"/>
      <c r="J33" s="28" t="n"/>
      <c r="K33" s="28" t="n"/>
      <c r="L33" s="28" t="n"/>
      <c r="M33" s="28" t="n"/>
      <c r="N33" s="45">
        <f>IF(A33="","",IF(COUNT(I33:M33)=0,"",AVERAGE(I33:M33)))</f>
        <v/>
      </c>
      <c r="O33" s="29" t="n"/>
      <c r="P33" s="29" t="n"/>
    </row>
    <row r="34">
      <c r="A34" s="29" t="n"/>
      <c r="B34" s="29" t="n"/>
      <c r="C34" s="29" t="n"/>
      <c r="D34" s="29" t="n"/>
      <c r="E34" s="31" t="n"/>
      <c r="F34" s="29" t="n"/>
      <c r="G34" s="29" t="n"/>
      <c r="H34" s="28" t="n"/>
      <c r="I34" s="28" t="n"/>
      <c r="J34" s="28" t="n"/>
      <c r="K34" s="28" t="n"/>
      <c r="L34" s="28" t="n"/>
      <c r="M34" s="28" t="n"/>
      <c r="N34" s="45">
        <f>IF(A34="","",IF(COUNT(I34:M34)=0,"",AVERAGE(I34:M34)))</f>
        <v/>
      </c>
      <c r="O34" s="29" t="n"/>
      <c r="P34" s="29" t="n"/>
    </row>
    <row r="35">
      <c r="A35" s="29" t="n"/>
      <c r="B35" s="29" t="n"/>
      <c r="C35" s="29" t="n"/>
      <c r="D35" s="29" t="n"/>
      <c r="E35" s="31" t="n"/>
      <c r="F35" s="29" t="n"/>
      <c r="G35" s="29" t="n"/>
      <c r="H35" s="28" t="n"/>
      <c r="I35" s="28" t="n"/>
      <c r="J35" s="28" t="n"/>
      <c r="K35" s="28" t="n"/>
      <c r="L35" s="28" t="n"/>
      <c r="M35" s="28" t="n"/>
      <c r="N35" s="45">
        <f>IF(A35="","",IF(COUNT(I35:M35)=0,"",AVERAGE(I35:M35)))</f>
        <v/>
      </c>
      <c r="O35" s="29" t="n"/>
      <c r="P35" s="29" t="n"/>
    </row>
    <row r="36">
      <c r="A36" s="29" t="n"/>
      <c r="B36" s="29" t="n"/>
      <c r="C36" s="29" t="n"/>
      <c r="D36" s="29" t="n"/>
      <c r="E36" s="31" t="n"/>
      <c r="F36" s="29" t="n"/>
      <c r="G36" s="29" t="n"/>
      <c r="H36" s="28" t="n"/>
      <c r="I36" s="28" t="n"/>
      <c r="J36" s="28" t="n"/>
      <c r="K36" s="28" t="n"/>
      <c r="L36" s="28" t="n"/>
      <c r="M36" s="28" t="n"/>
      <c r="N36" s="45">
        <f>IF(A36="","",IF(COUNT(I36:M36)=0,"",AVERAGE(I36:M36)))</f>
        <v/>
      </c>
      <c r="O36" s="29" t="n"/>
      <c r="P36" s="29" t="n"/>
    </row>
    <row r="37">
      <c r="A37" s="29" t="n"/>
      <c r="B37" s="29" t="n"/>
      <c r="C37" s="29" t="n"/>
      <c r="D37" s="29" t="n"/>
      <c r="E37" s="31" t="n"/>
      <c r="F37" s="29" t="n"/>
      <c r="G37" s="29" t="n"/>
      <c r="H37" s="28" t="n"/>
      <c r="I37" s="28" t="n"/>
      <c r="J37" s="28" t="n"/>
      <c r="K37" s="28" t="n"/>
      <c r="L37" s="28" t="n"/>
      <c r="M37" s="28" t="n"/>
      <c r="N37" s="45">
        <f>IF(A37="","",IF(COUNT(I37:M37)=0,"",AVERAGE(I37:M37)))</f>
        <v/>
      </c>
      <c r="O37" s="29" t="n"/>
      <c r="P37" s="29" t="n"/>
    </row>
    <row r="38">
      <c r="A38" s="29" t="n"/>
      <c r="B38" s="29" t="n"/>
      <c r="C38" s="29" t="n"/>
      <c r="D38" s="29" t="n"/>
      <c r="E38" s="31" t="n"/>
      <c r="F38" s="29" t="n"/>
      <c r="G38" s="29" t="n"/>
      <c r="H38" s="28" t="n"/>
      <c r="I38" s="28" t="n"/>
      <c r="J38" s="28" t="n"/>
      <c r="K38" s="28" t="n"/>
      <c r="L38" s="28" t="n"/>
      <c r="M38" s="28" t="n"/>
      <c r="N38" s="45">
        <f>IF(A38="","",IF(COUNT(I38:M38)=0,"",AVERAGE(I38:M38)))</f>
        <v/>
      </c>
      <c r="O38" s="29" t="n"/>
      <c r="P38" s="29" t="n"/>
    </row>
    <row r="39">
      <c r="A39" s="29" t="n"/>
      <c r="B39" s="29" t="n"/>
      <c r="C39" s="29" t="n"/>
      <c r="D39" s="29" t="n"/>
      <c r="E39" s="31" t="n"/>
      <c r="F39" s="29" t="n"/>
      <c r="G39" s="29" t="n"/>
      <c r="H39" s="28" t="n"/>
      <c r="I39" s="28" t="n"/>
      <c r="J39" s="28" t="n"/>
      <c r="K39" s="28" t="n"/>
      <c r="L39" s="28" t="n"/>
      <c r="M39" s="28" t="n"/>
      <c r="N39" s="45">
        <f>IF(A39="","",IF(COUNT(I39:M39)=0,"",AVERAGE(I39:M39)))</f>
        <v/>
      </c>
      <c r="O39" s="29" t="n"/>
      <c r="P39" s="29" t="n"/>
    </row>
    <row r="40">
      <c r="A40" s="29" t="n"/>
      <c r="B40" s="29" t="n"/>
      <c r="C40" s="29" t="n"/>
      <c r="D40" s="29" t="n"/>
      <c r="E40" s="31" t="n"/>
      <c r="F40" s="29" t="n"/>
      <c r="G40" s="29" t="n"/>
      <c r="H40" s="28" t="n"/>
      <c r="I40" s="28" t="n"/>
      <c r="J40" s="28" t="n"/>
      <c r="K40" s="28" t="n"/>
      <c r="L40" s="28" t="n"/>
      <c r="M40" s="28" t="n"/>
      <c r="N40" s="45">
        <f>IF(A40="","",IF(COUNT(I40:M40)=0,"",AVERAGE(I40:M40)))</f>
        <v/>
      </c>
      <c r="O40" s="29" t="n"/>
      <c r="P40" s="29" t="n"/>
    </row>
    <row r="41">
      <c r="A41" s="29" t="n"/>
      <c r="B41" s="29" t="n"/>
      <c r="C41" s="29" t="n"/>
      <c r="D41" s="29" t="n"/>
      <c r="E41" s="31" t="n"/>
      <c r="F41" s="29" t="n"/>
      <c r="G41" s="29" t="n"/>
      <c r="H41" s="28" t="n"/>
      <c r="I41" s="28" t="n"/>
      <c r="J41" s="28" t="n"/>
      <c r="K41" s="28" t="n"/>
      <c r="L41" s="28" t="n"/>
      <c r="M41" s="28" t="n"/>
      <c r="N41" s="45">
        <f>IF(A41="","",IF(COUNT(I41:M41)=0,"",AVERAGE(I41:M41)))</f>
        <v/>
      </c>
      <c r="O41" s="29" t="n"/>
      <c r="P41" s="29" t="n"/>
    </row>
    <row r="42">
      <c r="A42" s="29" t="n"/>
      <c r="B42" s="29" t="n"/>
      <c r="C42" s="29" t="n"/>
      <c r="D42" s="29" t="n"/>
      <c r="E42" s="31" t="n"/>
      <c r="F42" s="29" t="n"/>
      <c r="G42" s="29" t="n"/>
      <c r="H42" s="28" t="n"/>
      <c r="I42" s="28" t="n"/>
      <c r="J42" s="28" t="n"/>
      <c r="K42" s="28" t="n"/>
      <c r="L42" s="28" t="n"/>
      <c r="M42" s="28" t="n"/>
      <c r="N42" s="45">
        <f>IF(A42="","",IF(COUNT(I42:M42)=0,"",AVERAGE(I42:M42)))</f>
        <v/>
      </c>
      <c r="O42" s="29" t="n"/>
      <c r="P42" s="29" t="n"/>
    </row>
    <row r="43">
      <c r="A43" s="29" t="n"/>
      <c r="B43" s="29" t="n"/>
      <c r="C43" s="29" t="n"/>
      <c r="D43" s="29" t="n"/>
      <c r="E43" s="31" t="n"/>
      <c r="F43" s="29" t="n"/>
      <c r="G43" s="29" t="n"/>
      <c r="H43" s="28" t="n"/>
      <c r="I43" s="28" t="n"/>
      <c r="J43" s="28" t="n"/>
      <c r="K43" s="28" t="n"/>
      <c r="L43" s="28" t="n"/>
      <c r="M43" s="28" t="n"/>
      <c r="N43" s="45">
        <f>IF(A43="","",IF(COUNT(I43:M43)=0,"",AVERAGE(I43:M43)))</f>
        <v/>
      </c>
      <c r="O43" s="29" t="n"/>
      <c r="P43" s="29" t="n"/>
    </row>
    <row r="44">
      <c r="A44" s="29" t="n"/>
      <c r="B44" s="29" t="n"/>
      <c r="C44" s="29" t="n"/>
      <c r="D44" s="29" t="n"/>
      <c r="E44" s="31" t="n"/>
      <c r="F44" s="29" t="n"/>
      <c r="G44" s="29" t="n"/>
      <c r="H44" s="28" t="n"/>
      <c r="I44" s="28" t="n"/>
      <c r="J44" s="28" t="n"/>
      <c r="K44" s="28" t="n"/>
      <c r="L44" s="28" t="n"/>
      <c r="M44" s="28" t="n"/>
      <c r="N44" s="45">
        <f>IF(A44="","",IF(COUNT(I44:M44)=0,"",AVERAGE(I44:M44)))</f>
        <v/>
      </c>
      <c r="O44" s="29" t="n"/>
      <c r="P44" s="29" t="n"/>
    </row>
    <row r="45">
      <c r="A45" s="29" t="n"/>
      <c r="B45" s="29" t="n"/>
      <c r="C45" s="29" t="n"/>
      <c r="D45" s="29" t="n"/>
      <c r="E45" s="31" t="n"/>
      <c r="F45" s="29" t="n"/>
      <c r="G45" s="29" t="n"/>
      <c r="H45" s="28" t="n"/>
      <c r="I45" s="28" t="n"/>
      <c r="J45" s="28" t="n"/>
      <c r="K45" s="28" t="n"/>
      <c r="L45" s="28" t="n"/>
      <c r="M45" s="28" t="n"/>
      <c r="N45" s="45">
        <f>IF(A45="","",IF(COUNT(I45:M45)=0,"",AVERAGE(I45:M45)))</f>
        <v/>
      </c>
      <c r="O45" s="29" t="n"/>
      <c r="P45" s="29" t="n"/>
    </row>
    <row r="46">
      <c r="A46" s="29" t="n"/>
      <c r="B46" s="29" t="n"/>
      <c r="C46" s="29" t="n"/>
      <c r="D46" s="29" t="n"/>
      <c r="E46" s="31" t="n"/>
      <c r="F46" s="29" t="n"/>
      <c r="G46" s="29" t="n"/>
      <c r="H46" s="28" t="n"/>
      <c r="I46" s="28" t="n"/>
      <c r="J46" s="28" t="n"/>
      <c r="K46" s="28" t="n"/>
      <c r="L46" s="28" t="n"/>
      <c r="M46" s="28" t="n"/>
      <c r="N46" s="45">
        <f>IF(A46="","",IF(COUNT(I46:M46)=0,"",AVERAGE(I46:M46)))</f>
        <v/>
      </c>
      <c r="O46" s="29" t="n"/>
      <c r="P46" s="29" t="n"/>
    </row>
    <row r="47">
      <c r="A47" s="29" t="n"/>
      <c r="B47" s="29" t="n"/>
      <c r="C47" s="29" t="n"/>
      <c r="D47" s="29" t="n"/>
      <c r="E47" s="31" t="n"/>
      <c r="F47" s="29" t="n"/>
      <c r="G47" s="29" t="n"/>
      <c r="H47" s="28" t="n"/>
      <c r="I47" s="28" t="n"/>
      <c r="J47" s="28" t="n"/>
      <c r="K47" s="28" t="n"/>
      <c r="L47" s="28" t="n"/>
      <c r="M47" s="28" t="n"/>
      <c r="N47" s="45">
        <f>IF(A47="","",IF(COUNT(I47:M47)=0,"",AVERAGE(I47:M47)))</f>
        <v/>
      </c>
      <c r="O47" s="29" t="n"/>
      <c r="P47" s="29" t="n"/>
    </row>
    <row r="48">
      <c r="A48" s="29" t="n"/>
      <c r="B48" s="29" t="n"/>
      <c r="C48" s="29" t="n"/>
      <c r="D48" s="29" t="n"/>
      <c r="E48" s="31" t="n"/>
      <c r="F48" s="29" t="n"/>
      <c r="G48" s="29" t="n"/>
      <c r="H48" s="28" t="n"/>
      <c r="I48" s="28" t="n"/>
      <c r="J48" s="28" t="n"/>
      <c r="K48" s="28" t="n"/>
      <c r="L48" s="28" t="n"/>
      <c r="M48" s="28" t="n"/>
      <c r="N48" s="45">
        <f>IF(A48="","",IF(COUNT(I48:M48)=0,"",AVERAGE(I48:M48)))</f>
        <v/>
      </c>
      <c r="O48" s="29" t="n"/>
      <c r="P48" s="29" t="n"/>
    </row>
    <row r="49">
      <c r="A49" s="29" t="n"/>
      <c r="B49" s="29" t="n"/>
      <c r="C49" s="29" t="n"/>
      <c r="D49" s="29" t="n"/>
      <c r="E49" s="31" t="n"/>
      <c r="F49" s="29" t="n"/>
      <c r="G49" s="29" t="n"/>
      <c r="H49" s="28" t="n"/>
      <c r="I49" s="28" t="n"/>
      <c r="J49" s="28" t="n"/>
      <c r="K49" s="28" t="n"/>
      <c r="L49" s="28" t="n"/>
      <c r="M49" s="28" t="n"/>
      <c r="N49" s="45">
        <f>IF(A49="","",IF(COUNT(I49:M49)=0,"",AVERAGE(I49:M49)))</f>
        <v/>
      </c>
      <c r="O49" s="29" t="n"/>
      <c r="P49" s="29" t="n"/>
    </row>
    <row r="50">
      <c r="A50" s="29" t="n"/>
      <c r="B50" s="29" t="n"/>
      <c r="C50" s="29" t="n"/>
      <c r="D50" s="29" t="n"/>
      <c r="E50" s="31" t="n"/>
      <c r="F50" s="29" t="n"/>
      <c r="G50" s="29" t="n"/>
      <c r="H50" s="28" t="n"/>
      <c r="I50" s="28" t="n"/>
      <c r="J50" s="28" t="n"/>
      <c r="K50" s="28" t="n"/>
      <c r="L50" s="28" t="n"/>
      <c r="M50" s="28" t="n"/>
      <c r="N50" s="45">
        <f>IF(A50="","",IF(COUNT(I50:M50)=0,"",AVERAGE(I50:M50)))</f>
        <v/>
      </c>
      <c r="O50" s="29" t="n"/>
      <c r="P50" s="29" t="n"/>
    </row>
    <row r="51">
      <c r="A51" s="29" t="n"/>
      <c r="B51" s="29" t="n"/>
      <c r="C51" s="29" t="n"/>
      <c r="D51" s="29" t="n"/>
      <c r="E51" s="31" t="n"/>
      <c r="F51" s="29" t="n"/>
      <c r="G51" s="29" t="n"/>
      <c r="H51" s="28" t="n"/>
      <c r="I51" s="28" t="n"/>
      <c r="J51" s="28" t="n"/>
      <c r="K51" s="28" t="n"/>
      <c r="L51" s="28" t="n"/>
      <c r="M51" s="28" t="n"/>
      <c r="N51" s="45">
        <f>IF(A51="","",IF(COUNT(I51:M51)=0,"",AVERAGE(I51:M51)))</f>
        <v/>
      </c>
      <c r="O51" s="29" t="n"/>
      <c r="P51" s="29" t="n"/>
    </row>
    <row r="52">
      <c r="A52" s="29" t="n"/>
      <c r="B52" s="29" t="n"/>
      <c r="C52" s="29" t="n"/>
      <c r="D52" s="29" t="n"/>
      <c r="E52" s="31" t="n"/>
      <c r="F52" s="29" t="n"/>
      <c r="G52" s="29" t="n"/>
      <c r="H52" s="28" t="n"/>
      <c r="I52" s="28" t="n"/>
      <c r="J52" s="28" t="n"/>
      <c r="K52" s="28" t="n"/>
      <c r="L52" s="28" t="n"/>
      <c r="M52" s="28" t="n"/>
      <c r="N52" s="45">
        <f>IF(A52="","",IF(COUNT(I52:M52)=0,"",AVERAGE(I52:M52)))</f>
        <v/>
      </c>
      <c r="O52" s="29" t="n"/>
      <c r="P52" s="29" t="n"/>
    </row>
    <row r="53">
      <c r="A53" s="29" t="n"/>
      <c r="B53" s="29" t="n"/>
      <c r="C53" s="29" t="n"/>
      <c r="D53" s="29" t="n"/>
      <c r="E53" s="31" t="n"/>
      <c r="F53" s="29" t="n"/>
      <c r="G53" s="29" t="n"/>
      <c r="H53" s="28" t="n"/>
      <c r="I53" s="28" t="n"/>
      <c r="J53" s="28" t="n"/>
      <c r="K53" s="28" t="n"/>
      <c r="L53" s="28" t="n"/>
      <c r="M53" s="28" t="n"/>
      <c r="N53" s="45">
        <f>IF(A53="","",IF(COUNT(I53:M53)=0,"",AVERAGE(I53:M53)))</f>
        <v/>
      </c>
      <c r="O53" s="29" t="n"/>
      <c r="P53" s="29" t="n"/>
    </row>
    <row r="54">
      <c r="A54" s="29" t="n"/>
      <c r="B54" s="29" t="n"/>
      <c r="C54" s="29" t="n"/>
      <c r="D54" s="29" t="n"/>
      <c r="E54" s="31" t="n"/>
      <c r="F54" s="29" t="n"/>
      <c r="G54" s="29" t="n"/>
      <c r="H54" s="28" t="n"/>
      <c r="I54" s="28" t="n"/>
      <c r="J54" s="28" t="n"/>
      <c r="K54" s="28" t="n"/>
      <c r="L54" s="28" t="n"/>
      <c r="M54" s="28" t="n"/>
      <c r="N54" s="45">
        <f>IF(A54="","",IF(COUNT(I54:M54)=0,"",AVERAGE(I54:M54)))</f>
        <v/>
      </c>
      <c r="O54" s="29" t="n"/>
      <c r="P54" s="29" t="n"/>
    </row>
    <row r="55">
      <c r="A55" s="29" t="n"/>
      <c r="B55" s="29" t="n"/>
      <c r="C55" s="29" t="n"/>
      <c r="D55" s="29" t="n"/>
      <c r="E55" s="31" t="n"/>
      <c r="F55" s="29" t="n"/>
      <c r="G55" s="29" t="n"/>
      <c r="H55" s="28" t="n"/>
      <c r="I55" s="28" t="n"/>
      <c r="J55" s="28" t="n"/>
      <c r="K55" s="28" t="n"/>
      <c r="L55" s="28" t="n"/>
      <c r="M55" s="28" t="n"/>
      <c r="N55" s="45">
        <f>IF(A55="","",IF(COUNT(I55:M55)=0,"",AVERAGE(I55:M55)))</f>
        <v/>
      </c>
      <c r="O55" s="29" t="n"/>
      <c r="P55" s="29" t="n"/>
    </row>
    <row r="56">
      <c r="A56" s="29" t="n"/>
      <c r="B56" s="29" t="n"/>
      <c r="C56" s="29" t="n"/>
      <c r="D56" s="29" t="n"/>
      <c r="E56" s="31" t="n"/>
      <c r="F56" s="29" t="n"/>
      <c r="G56" s="29" t="n"/>
      <c r="H56" s="28" t="n"/>
      <c r="I56" s="28" t="n"/>
      <c r="J56" s="28" t="n"/>
      <c r="K56" s="28" t="n"/>
      <c r="L56" s="28" t="n"/>
      <c r="M56" s="28" t="n"/>
      <c r="N56" s="45">
        <f>IF(A56="","",IF(COUNT(I56:M56)=0,"",AVERAGE(I56:M56)))</f>
        <v/>
      </c>
      <c r="O56" s="29" t="n"/>
      <c r="P56" s="29" t="n"/>
    </row>
    <row r="57">
      <c r="A57" s="29" t="n"/>
      <c r="B57" s="29" t="n"/>
      <c r="C57" s="29" t="n"/>
      <c r="D57" s="29" t="n"/>
      <c r="E57" s="31" t="n"/>
      <c r="F57" s="29" t="n"/>
      <c r="G57" s="29" t="n"/>
      <c r="H57" s="28" t="n"/>
      <c r="I57" s="28" t="n"/>
      <c r="J57" s="28" t="n"/>
      <c r="K57" s="28" t="n"/>
      <c r="L57" s="28" t="n"/>
      <c r="M57" s="28" t="n"/>
      <c r="N57" s="45">
        <f>IF(A57="","",IF(COUNT(I57:M57)=0,"",AVERAGE(I57:M57)))</f>
        <v/>
      </c>
      <c r="O57" s="29" t="n"/>
      <c r="P57" s="29" t="n"/>
    </row>
    <row r="58">
      <c r="A58" s="29" t="n"/>
      <c r="B58" s="29" t="n"/>
      <c r="C58" s="29" t="n"/>
      <c r="D58" s="29" t="n"/>
      <c r="E58" s="31" t="n"/>
      <c r="F58" s="29" t="n"/>
      <c r="G58" s="29" t="n"/>
      <c r="H58" s="28" t="n"/>
      <c r="I58" s="28" t="n"/>
      <c r="J58" s="28" t="n"/>
      <c r="K58" s="28" t="n"/>
      <c r="L58" s="28" t="n"/>
      <c r="M58" s="28" t="n"/>
      <c r="N58" s="45">
        <f>IF(A58="","",IF(COUNT(I58:M58)=0,"",AVERAGE(I58:M58)))</f>
        <v/>
      </c>
      <c r="O58" s="29" t="n"/>
      <c r="P58" s="29" t="n"/>
    </row>
    <row r="59">
      <c r="A59" s="29" t="n"/>
      <c r="B59" s="29" t="n"/>
      <c r="C59" s="29" t="n"/>
      <c r="D59" s="29" t="n"/>
      <c r="E59" s="31" t="n"/>
      <c r="F59" s="29" t="n"/>
      <c r="G59" s="29" t="n"/>
      <c r="H59" s="28" t="n"/>
      <c r="I59" s="28" t="n"/>
      <c r="J59" s="28" t="n"/>
      <c r="K59" s="28" t="n"/>
      <c r="L59" s="28" t="n"/>
      <c r="M59" s="28" t="n"/>
      <c r="N59" s="45">
        <f>IF(A59="","",IF(COUNT(I59:M59)=0,"",AVERAGE(I59:M59)))</f>
        <v/>
      </c>
      <c r="O59" s="29" t="n"/>
      <c r="P59" s="29" t="n"/>
    </row>
    <row r="60">
      <c r="A60" s="29" t="n"/>
      <c r="B60" s="29" t="n"/>
      <c r="C60" s="29" t="n"/>
      <c r="D60" s="29" t="n"/>
      <c r="E60" s="31" t="n"/>
      <c r="F60" s="29" t="n"/>
      <c r="G60" s="29" t="n"/>
      <c r="H60" s="28" t="n"/>
      <c r="I60" s="28" t="n"/>
      <c r="J60" s="28" t="n"/>
      <c r="K60" s="28" t="n"/>
      <c r="L60" s="28" t="n"/>
      <c r="M60" s="28" t="n"/>
      <c r="N60" s="45">
        <f>IF(A60="","",IF(COUNT(I60:M60)=0,"",AVERAGE(I60:M60)))</f>
        <v/>
      </c>
      <c r="O60" s="29" t="n"/>
      <c r="P60" s="29" t="n"/>
    </row>
    <row r="61">
      <c r="A61" s="29" t="n"/>
      <c r="B61" s="29" t="n"/>
      <c r="C61" s="29" t="n"/>
      <c r="D61" s="29" t="n"/>
      <c r="E61" s="31" t="n"/>
      <c r="F61" s="29" t="n"/>
      <c r="G61" s="29" t="n"/>
      <c r="H61" s="28" t="n"/>
      <c r="I61" s="28" t="n"/>
      <c r="J61" s="28" t="n"/>
      <c r="K61" s="28" t="n"/>
      <c r="L61" s="28" t="n"/>
      <c r="M61" s="28" t="n"/>
      <c r="N61" s="45">
        <f>IF(A61="","",IF(COUNT(I61:M61)=0,"",AVERAGE(I61:M61)))</f>
        <v/>
      </c>
      <c r="O61" s="29" t="n"/>
      <c r="P61" s="29" t="n"/>
    </row>
    <row r="62">
      <c r="A62" s="29" t="n"/>
      <c r="B62" s="29" t="n"/>
      <c r="C62" s="29" t="n"/>
      <c r="D62" s="29" t="n"/>
      <c r="E62" s="31" t="n"/>
      <c r="F62" s="29" t="n"/>
      <c r="G62" s="29" t="n"/>
      <c r="H62" s="28" t="n"/>
      <c r="I62" s="28" t="n"/>
      <c r="J62" s="28" t="n"/>
      <c r="K62" s="28" t="n"/>
      <c r="L62" s="28" t="n"/>
      <c r="M62" s="28" t="n"/>
      <c r="N62" s="45">
        <f>IF(A62="","",IF(COUNT(I62:M62)=0,"",AVERAGE(I62:M62)))</f>
        <v/>
      </c>
      <c r="O62" s="29" t="n"/>
      <c r="P62" s="29" t="n"/>
    </row>
    <row r="63">
      <c r="A63" s="29" t="n"/>
      <c r="B63" s="29" t="n"/>
      <c r="C63" s="29" t="n"/>
      <c r="D63" s="29" t="n"/>
      <c r="E63" s="31" t="n"/>
      <c r="F63" s="29" t="n"/>
      <c r="G63" s="29" t="n"/>
      <c r="H63" s="28" t="n"/>
      <c r="I63" s="28" t="n"/>
      <c r="J63" s="28" t="n"/>
      <c r="K63" s="28" t="n"/>
      <c r="L63" s="28" t="n"/>
      <c r="M63" s="28" t="n"/>
      <c r="N63" s="45">
        <f>IF(A63="","",IF(COUNT(I63:M63)=0,"",AVERAGE(I63:M63)))</f>
        <v/>
      </c>
      <c r="O63" s="29" t="n"/>
      <c r="P63" s="29" t="n"/>
    </row>
    <row r="64">
      <c r="A64" s="29" t="n"/>
      <c r="B64" s="29" t="n"/>
      <c r="C64" s="29" t="n"/>
      <c r="D64" s="29" t="n"/>
      <c r="E64" s="31" t="n"/>
      <c r="F64" s="29" t="n"/>
      <c r="G64" s="29" t="n"/>
      <c r="H64" s="28" t="n"/>
      <c r="I64" s="28" t="n"/>
      <c r="J64" s="28" t="n"/>
      <c r="K64" s="28" t="n"/>
      <c r="L64" s="28" t="n"/>
      <c r="M64" s="28" t="n"/>
      <c r="N64" s="45">
        <f>IF(A64="","",IF(COUNT(I64:M64)=0,"",AVERAGE(I64:M64)))</f>
        <v/>
      </c>
      <c r="O64" s="29" t="n"/>
      <c r="P64" s="29" t="n"/>
    </row>
    <row r="65">
      <c r="A65" s="29" t="n"/>
      <c r="B65" s="29" t="n"/>
      <c r="C65" s="29" t="n"/>
      <c r="D65" s="29" t="n"/>
      <c r="E65" s="31" t="n"/>
      <c r="F65" s="29" t="n"/>
      <c r="G65" s="29" t="n"/>
      <c r="H65" s="28" t="n"/>
      <c r="I65" s="28" t="n"/>
      <c r="J65" s="28" t="n"/>
      <c r="K65" s="28" t="n"/>
      <c r="L65" s="28" t="n"/>
      <c r="M65" s="28" t="n"/>
      <c r="N65" s="45">
        <f>IF(A65="","",IF(COUNT(I65:M65)=0,"",AVERAGE(I65:M65)))</f>
        <v/>
      </c>
      <c r="O65" s="29" t="n"/>
      <c r="P65" s="29" t="n"/>
    </row>
    <row r="66">
      <c r="A66" s="29" t="n"/>
      <c r="B66" s="29" t="n"/>
      <c r="C66" s="29" t="n"/>
      <c r="D66" s="29" t="n"/>
      <c r="E66" s="31" t="n"/>
      <c r="F66" s="29" t="n"/>
      <c r="G66" s="29" t="n"/>
      <c r="H66" s="28" t="n"/>
      <c r="I66" s="28" t="n"/>
      <c r="J66" s="28" t="n"/>
      <c r="K66" s="28" t="n"/>
      <c r="L66" s="28" t="n"/>
      <c r="M66" s="28" t="n"/>
      <c r="N66" s="45">
        <f>IF(A66="","",IF(COUNT(I66:M66)=0,"",AVERAGE(I66:M66)))</f>
        <v/>
      </c>
      <c r="O66" s="29" t="n"/>
      <c r="P66" s="29" t="n"/>
    </row>
    <row r="67">
      <c r="A67" s="29" t="n"/>
      <c r="B67" s="29" t="n"/>
      <c r="C67" s="29" t="n"/>
      <c r="D67" s="29" t="n"/>
      <c r="E67" s="31" t="n"/>
      <c r="F67" s="29" t="n"/>
      <c r="G67" s="29" t="n"/>
      <c r="H67" s="28" t="n"/>
      <c r="I67" s="28" t="n"/>
      <c r="J67" s="28" t="n"/>
      <c r="K67" s="28" t="n"/>
      <c r="L67" s="28" t="n"/>
      <c r="M67" s="28" t="n"/>
      <c r="N67" s="45">
        <f>IF(A67="","",IF(COUNT(I67:M67)=0,"",AVERAGE(I67:M67)))</f>
        <v/>
      </c>
      <c r="O67" s="29" t="n"/>
      <c r="P67" s="29" t="n"/>
    </row>
    <row r="68">
      <c r="A68" s="29" t="n"/>
      <c r="B68" s="29" t="n"/>
      <c r="C68" s="29" t="n"/>
      <c r="D68" s="29" t="n"/>
      <c r="E68" s="31" t="n"/>
      <c r="F68" s="29" t="n"/>
      <c r="G68" s="29" t="n"/>
      <c r="H68" s="28" t="n"/>
      <c r="I68" s="28" t="n"/>
      <c r="J68" s="28" t="n"/>
      <c r="K68" s="28" t="n"/>
      <c r="L68" s="28" t="n"/>
      <c r="M68" s="28" t="n"/>
      <c r="N68" s="45">
        <f>IF(A68="","",IF(COUNT(I68:M68)=0,"",AVERAGE(I68:M68)))</f>
        <v/>
      </c>
      <c r="O68" s="29" t="n"/>
      <c r="P68" s="29" t="n"/>
    </row>
    <row r="69">
      <c r="A69" s="29" t="n"/>
      <c r="B69" s="29" t="n"/>
      <c r="C69" s="29" t="n"/>
      <c r="D69" s="29" t="n"/>
      <c r="E69" s="31" t="n"/>
      <c r="F69" s="29" t="n"/>
      <c r="G69" s="29" t="n"/>
      <c r="H69" s="28" t="n"/>
      <c r="I69" s="28" t="n"/>
      <c r="J69" s="28" t="n"/>
      <c r="K69" s="28" t="n"/>
      <c r="L69" s="28" t="n"/>
      <c r="M69" s="28" t="n"/>
      <c r="N69" s="45">
        <f>IF(A69="","",IF(COUNT(I69:M69)=0,"",AVERAGE(I69:M69)))</f>
        <v/>
      </c>
      <c r="O69" s="29" t="n"/>
      <c r="P69" s="29" t="n"/>
    </row>
    <row r="70">
      <c r="A70" s="29" t="n"/>
      <c r="B70" s="29" t="n"/>
      <c r="C70" s="29" t="n"/>
      <c r="D70" s="29" t="n"/>
      <c r="E70" s="31" t="n"/>
      <c r="F70" s="29" t="n"/>
      <c r="G70" s="29" t="n"/>
      <c r="H70" s="28" t="n"/>
      <c r="I70" s="28" t="n"/>
      <c r="J70" s="28" t="n"/>
      <c r="K70" s="28" t="n"/>
      <c r="L70" s="28" t="n"/>
      <c r="M70" s="28" t="n"/>
      <c r="N70" s="45">
        <f>IF(A70="","",IF(COUNT(I70:M70)=0,"",AVERAGE(I70:M70)))</f>
        <v/>
      </c>
      <c r="O70" s="29" t="n"/>
      <c r="P70" s="29" t="n"/>
    </row>
    <row r="71">
      <c r="A71" s="29" t="n"/>
      <c r="B71" s="29" t="n"/>
      <c r="C71" s="29" t="n"/>
      <c r="D71" s="29" t="n"/>
      <c r="E71" s="31" t="n"/>
      <c r="F71" s="29" t="n"/>
      <c r="G71" s="29" t="n"/>
      <c r="H71" s="28" t="n"/>
      <c r="I71" s="28" t="n"/>
      <c r="J71" s="28" t="n"/>
      <c r="K71" s="28" t="n"/>
      <c r="L71" s="28" t="n"/>
      <c r="M71" s="28" t="n"/>
      <c r="N71" s="45">
        <f>IF(A71="","",IF(COUNT(I71:M71)=0,"",AVERAGE(I71:M71)))</f>
        <v/>
      </c>
      <c r="O71" s="29" t="n"/>
      <c r="P71" s="29" t="n"/>
    </row>
    <row r="72">
      <c r="A72" s="29" t="n"/>
      <c r="B72" s="29" t="n"/>
      <c r="C72" s="29" t="n"/>
      <c r="D72" s="29" t="n"/>
      <c r="E72" s="31" t="n"/>
      <c r="F72" s="29" t="n"/>
      <c r="G72" s="29" t="n"/>
      <c r="H72" s="28" t="n"/>
      <c r="I72" s="28" t="n"/>
      <c r="J72" s="28" t="n"/>
      <c r="K72" s="28" t="n"/>
      <c r="L72" s="28" t="n"/>
      <c r="M72" s="28" t="n"/>
      <c r="N72" s="45">
        <f>IF(A72="","",IF(COUNT(I72:M72)=0,"",AVERAGE(I72:M72)))</f>
        <v/>
      </c>
      <c r="O72" s="29" t="n"/>
      <c r="P72" s="29" t="n"/>
    </row>
    <row r="73">
      <c r="A73" s="29" t="n"/>
      <c r="B73" s="29" t="n"/>
      <c r="C73" s="29" t="n"/>
      <c r="D73" s="29" t="n"/>
      <c r="E73" s="31" t="n"/>
      <c r="F73" s="29" t="n"/>
      <c r="G73" s="29" t="n"/>
      <c r="H73" s="28" t="n"/>
      <c r="I73" s="28" t="n"/>
      <c r="J73" s="28" t="n"/>
      <c r="K73" s="28" t="n"/>
      <c r="L73" s="28" t="n"/>
      <c r="M73" s="28" t="n"/>
      <c r="N73" s="45">
        <f>IF(A73="","",IF(COUNT(I73:M73)=0,"",AVERAGE(I73:M73)))</f>
        <v/>
      </c>
      <c r="O73" s="29" t="n"/>
      <c r="P73" s="29" t="n"/>
    </row>
    <row r="74">
      <c r="A74" s="29" t="n"/>
      <c r="B74" s="29" t="n"/>
      <c r="C74" s="29" t="n"/>
      <c r="D74" s="29" t="n"/>
      <c r="E74" s="31" t="n"/>
      <c r="F74" s="29" t="n"/>
      <c r="G74" s="29" t="n"/>
      <c r="H74" s="28" t="n"/>
      <c r="I74" s="28" t="n"/>
      <c r="J74" s="28" t="n"/>
      <c r="K74" s="28" t="n"/>
      <c r="L74" s="28" t="n"/>
      <c r="M74" s="28" t="n"/>
      <c r="N74" s="45">
        <f>IF(A74="","",IF(COUNT(I74:M74)=0,"",AVERAGE(I74:M74)))</f>
        <v/>
      </c>
      <c r="O74" s="29" t="n"/>
      <c r="P74" s="29" t="n"/>
    </row>
    <row r="75">
      <c r="A75" s="29" t="n"/>
      <c r="B75" s="29" t="n"/>
      <c r="C75" s="29" t="n"/>
      <c r="D75" s="29" t="n"/>
      <c r="E75" s="31" t="n"/>
      <c r="F75" s="29" t="n"/>
      <c r="G75" s="29" t="n"/>
      <c r="H75" s="28" t="n"/>
      <c r="I75" s="28" t="n"/>
      <c r="J75" s="28" t="n"/>
      <c r="K75" s="28" t="n"/>
      <c r="L75" s="28" t="n"/>
      <c r="M75" s="28" t="n"/>
      <c r="N75" s="45">
        <f>IF(A75="","",IF(COUNT(I75:M75)=0,"",AVERAGE(I75:M75)))</f>
        <v/>
      </c>
      <c r="O75" s="29" t="n"/>
      <c r="P75" s="29" t="n"/>
    </row>
    <row r="76">
      <c r="A76" s="29" t="n"/>
      <c r="B76" s="29" t="n"/>
      <c r="C76" s="29" t="n"/>
      <c r="D76" s="29" t="n"/>
      <c r="E76" s="31" t="n"/>
      <c r="F76" s="29" t="n"/>
      <c r="G76" s="29" t="n"/>
      <c r="H76" s="28" t="n"/>
      <c r="I76" s="28" t="n"/>
      <c r="J76" s="28" t="n"/>
      <c r="K76" s="28" t="n"/>
      <c r="L76" s="28" t="n"/>
      <c r="M76" s="28" t="n"/>
      <c r="N76" s="45">
        <f>IF(A76="","",IF(COUNT(I76:M76)=0,"",AVERAGE(I76:M76)))</f>
        <v/>
      </c>
      <c r="O76" s="29" t="n"/>
      <c r="P76" s="29" t="n"/>
    </row>
    <row r="77">
      <c r="A77" s="29" t="n"/>
      <c r="B77" s="29" t="n"/>
      <c r="C77" s="29" t="n"/>
      <c r="D77" s="29" t="n"/>
      <c r="E77" s="31" t="n"/>
      <c r="F77" s="29" t="n"/>
      <c r="G77" s="29" t="n"/>
      <c r="H77" s="28" t="n"/>
      <c r="I77" s="28" t="n"/>
      <c r="J77" s="28" t="n"/>
      <c r="K77" s="28" t="n"/>
      <c r="L77" s="28" t="n"/>
      <c r="M77" s="28" t="n"/>
      <c r="N77" s="45">
        <f>IF(A77="","",IF(COUNT(I77:M77)=0,"",AVERAGE(I77:M77)))</f>
        <v/>
      </c>
      <c r="O77" s="29" t="n"/>
      <c r="P77" s="29" t="n"/>
    </row>
    <row r="78">
      <c r="A78" s="29" t="n"/>
      <c r="B78" s="29" t="n"/>
      <c r="C78" s="29" t="n"/>
      <c r="D78" s="29" t="n"/>
      <c r="E78" s="31" t="n"/>
      <c r="F78" s="29" t="n"/>
      <c r="G78" s="29" t="n"/>
      <c r="H78" s="28" t="n"/>
      <c r="I78" s="28" t="n"/>
      <c r="J78" s="28" t="n"/>
      <c r="K78" s="28" t="n"/>
      <c r="L78" s="28" t="n"/>
      <c r="M78" s="28" t="n"/>
      <c r="N78" s="45">
        <f>IF(A78="","",IF(COUNT(I78:M78)=0,"",AVERAGE(I78:M78)))</f>
        <v/>
      </c>
      <c r="O78" s="29" t="n"/>
      <c r="P78" s="29" t="n"/>
    </row>
    <row r="79">
      <c r="A79" s="29" t="n"/>
      <c r="B79" s="29" t="n"/>
      <c r="C79" s="29" t="n"/>
      <c r="D79" s="29" t="n"/>
      <c r="E79" s="31" t="n"/>
      <c r="F79" s="29" t="n"/>
      <c r="G79" s="29" t="n"/>
      <c r="H79" s="28" t="n"/>
      <c r="I79" s="28" t="n"/>
      <c r="J79" s="28" t="n"/>
      <c r="K79" s="28" t="n"/>
      <c r="L79" s="28" t="n"/>
      <c r="M79" s="28" t="n"/>
      <c r="N79" s="45">
        <f>IF(A79="","",IF(COUNT(I79:M79)=0,"",AVERAGE(I79:M79)))</f>
        <v/>
      </c>
      <c r="O79" s="29" t="n"/>
      <c r="P79" s="29" t="n"/>
    </row>
    <row r="80">
      <c r="A80" s="29" t="n"/>
      <c r="B80" s="29" t="n"/>
      <c r="C80" s="29" t="n"/>
      <c r="D80" s="29" t="n"/>
      <c r="E80" s="31" t="n"/>
      <c r="F80" s="29" t="n"/>
      <c r="G80" s="29" t="n"/>
      <c r="H80" s="28" t="n"/>
      <c r="I80" s="28" t="n"/>
      <c r="J80" s="28" t="n"/>
      <c r="K80" s="28" t="n"/>
      <c r="L80" s="28" t="n"/>
      <c r="M80" s="28" t="n"/>
      <c r="N80" s="45">
        <f>IF(A80="","",IF(COUNT(I80:M80)=0,"",AVERAGE(I80:M80)))</f>
        <v/>
      </c>
      <c r="O80" s="29" t="n"/>
      <c r="P80" s="29" t="n"/>
    </row>
    <row r="81">
      <c r="A81" s="29" t="n"/>
      <c r="B81" s="29" t="n"/>
      <c r="C81" s="29" t="n"/>
      <c r="D81" s="29" t="n"/>
      <c r="E81" s="31" t="n"/>
      <c r="F81" s="29" t="n"/>
      <c r="G81" s="29" t="n"/>
      <c r="H81" s="28" t="n"/>
      <c r="I81" s="28" t="n"/>
      <c r="J81" s="28" t="n"/>
      <c r="K81" s="28" t="n"/>
      <c r="L81" s="28" t="n"/>
      <c r="M81" s="28" t="n"/>
      <c r="N81" s="45">
        <f>IF(A81="","",IF(COUNT(I81:M81)=0,"",AVERAGE(I81:M81)))</f>
        <v/>
      </c>
      <c r="O81" s="29" t="n"/>
      <c r="P81" s="29" t="n"/>
    </row>
    <row r="82">
      <c r="A82" s="29" t="n"/>
      <c r="B82" s="29" t="n"/>
      <c r="C82" s="29" t="n"/>
      <c r="D82" s="29" t="n"/>
      <c r="E82" s="31" t="n"/>
      <c r="F82" s="29" t="n"/>
      <c r="G82" s="29" t="n"/>
      <c r="H82" s="28" t="n"/>
      <c r="I82" s="28" t="n"/>
      <c r="J82" s="28" t="n"/>
      <c r="K82" s="28" t="n"/>
      <c r="L82" s="28" t="n"/>
      <c r="M82" s="28" t="n"/>
      <c r="N82" s="45">
        <f>IF(A82="","",IF(COUNT(I82:M82)=0,"",AVERAGE(I82:M82)))</f>
        <v/>
      </c>
      <c r="O82" s="29" t="n"/>
      <c r="P82" s="29" t="n"/>
    </row>
    <row r="83">
      <c r="A83" s="29" t="n"/>
      <c r="B83" s="29" t="n"/>
      <c r="C83" s="29" t="n"/>
      <c r="D83" s="29" t="n"/>
      <c r="E83" s="31" t="n"/>
      <c r="F83" s="29" t="n"/>
      <c r="G83" s="29" t="n"/>
      <c r="H83" s="28" t="n"/>
      <c r="I83" s="28" t="n"/>
      <c r="J83" s="28" t="n"/>
      <c r="K83" s="28" t="n"/>
      <c r="L83" s="28" t="n"/>
      <c r="M83" s="28" t="n"/>
      <c r="N83" s="45">
        <f>IF(A83="","",IF(COUNT(I83:M83)=0,"",AVERAGE(I83:M83)))</f>
        <v/>
      </c>
      <c r="O83" s="29" t="n"/>
      <c r="P83" s="29" t="n"/>
    </row>
    <row r="84">
      <c r="A84" s="29" t="n"/>
      <c r="B84" s="29" t="n"/>
      <c r="C84" s="29" t="n"/>
      <c r="D84" s="29" t="n"/>
      <c r="E84" s="31" t="n"/>
      <c r="F84" s="29" t="n"/>
      <c r="G84" s="29" t="n"/>
      <c r="H84" s="28" t="n"/>
      <c r="I84" s="28" t="n"/>
      <c r="J84" s="28" t="n"/>
      <c r="K84" s="28" t="n"/>
      <c r="L84" s="28" t="n"/>
      <c r="M84" s="28" t="n"/>
      <c r="N84" s="45">
        <f>IF(A84="","",IF(COUNT(I84:M84)=0,"",AVERAGE(I84:M84)))</f>
        <v/>
      </c>
      <c r="O84" s="29" t="n"/>
      <c r="P84" s="29" t="n"/>
    </row>
    <row r="85">
      <c r="A85" s="29" t="n"/>
      <c r="B85" s="29" t="n"/>
      <c r="C85" s="29" t="n"/>
      <c r="D85" s="29" t="n"/>
      <c r="E85" s="31" t="n"/>
      <c r="F85" s="29" t="n"/>
      <c r="G85" s="29" t="n"/>
      <c r="H85" s="28" t="n"/>
      <c r="I85" s="28" t="n"/>
      <c r="J85" s="28" t="n"/>
      <c r="K85" s="28" t="n"/>
      <c r="L85" s="28" t="n"/>
      <c r="M85" s="28" t="n"/>
      <c r="N85" s="45">
        <f>IF(A85="","",IF(COUNT(I85:M85)=0,"",AVERAGE(I85:M85)))</f>
        <v/>
      </c>
      <c r="O85" s="29" t="n"/>
      <c r="P85" s="29" t="n"/>
    </row>
    <row r="86">
      <c r="A86" s="29" t="n"/>
      <c r="B86" s="29" t="n"/>
      <c r="C86" s="29" t="n"/>
      <c r="D86" s="29" t="n"/>
      <c r="E86" s="31" t="n"/>
      <c r="F86" s="29" t="n"/>
      <c r="G86" s="29" t="n"/>
      <c r="H86" s="28" t="n"/>
      <c r="I86" s="28" t="n"/>
      <c r="J86" s="28" t="n"/>
      <c r="K86" s="28" t="n"/>
      <c r="L86" s="28" t="n"/>
      <c r="M86" s="28" t="n"/>
      <c r="N86" s="45">
        <f>IF(A86="","",IF(COUNT(I86:M86)=0,"",AVERAGE(I86:M86)))</f>
        <v/>
      </c>
      <c r="O86" s="29" t="n"/>
      <c r="P86" s="29" t="n"/>
    </row>
    <row r="87">
      <c r="A87" s="29" t="n"/>
      <c r="B87" s="29" t="n"/>
      <c r="C87" s="29" t="n"/>
      <c r="D87" s="29" t="n"/>
      <c r="E87" s="31" t="n"/>
      <c r="F87" s="29" t="n"/>
      <c r="G87" s="29" t="n"/>
      <c r="H87" s="28" t="n"/>
      <c r="I87" s="28" t="n"/>
      <c r="J87" s="28" t="n"/>
      <c r="K87" s="28" t="n"/>
      <c r="L87" s="28" t="n"/>
      <c r="M87" s="28" t="n"/>
      <c r="N87" s="45">
        <f>IF(A87="","",IF(COUNT(I87:M87)=0,"",AVERAGE(I87:M87)))</f>
        <v/>
      </c>
      <c r="O87" s="29" t="n"/>
      <c r="P87" s="29" t="n"/>
    </row>
    <row r="88">
      <c r="A88" s="29" t="n"/>
      <c r="B88" s="29" t="n"/>
      <c r="C88" s="29" t="n"/>
      <c r="D88" s="29" t="n"/>
      <c r="E88" s="31" t="n"/>
      <c r="F88" s="29" t="n"/>
      <c r="G88" s="29" t="n"/>
      <c r="H88" s="28" t="n"/>
      <c r="I88" s="28" t="n"/>
      <c r="J88" s="28" t="n"/>
      <c r="K88" s="28" t="n"/>
      <c r="L88" s="28" t="n"/>
      <c r="M88" s="28" t="n"/>
      <c r="N88" s="45">
        <f>IF(A88="","",IF(COUNT(I88:M88)=0,"",AVERAGE(I88:M88)))</f>
        <v/>
      </c>
      <c r="O88" s="29" t="n"/>
      <c r="P88" s="29" t="n"/>
    </row>
    <row r="89">
      <c r="A89" s="29" t="n"/>
      <c r="B89" s="29" t="n"/>
      <c r="C89" s="29" t="n"/>
      <c r="D89" s="29" t="n"/>
      <c r="E89" s="31" t="n"/>
      <c r="F89" s="29" t="n"/>
      <c r="G89" s="29" t="n"/>
      <c r="H89" s="28" t="n"/>
      <c r="I89" s="28" t="n"/>
      <c r="J89" s="28" t="n"/>
      <c r="K89" s="28" t="n"/>
      <c r="L89" s="28" t="n"/>
      <c r="M89" s="28" t="n"/>
      <c r="N89" s="45">
        <f>IF(A89="","",IF(COUNT(I89:M89)=0,"",AVERAGE(I89:M89)))</f>
        <v/>
      </c>
      <c r="O89" s="29" t="n"/>
      <c r="P89" s="29" t="n"/>
    </row>
    <row r="90">
      <c r="A90" s="29" t="n"/>
      <c r="B90" s="29" t="n"/>
      <c r="C90" s="29" t="n"/>
      <c r="D90" s="29" t="n"/>
      <c r="E90" s="31" t="n"/>
      <c r="F90" s="29" t="n"/>
      <c r="G90" s="29" t="n"/>
      <c r="H90" s="28" t="n"/>
      <c r="I90" s="28" t="n"/>
      <c r="J90" s="28" t="n"/>
      <c r="K90" s="28" t="n"/>
      <c r="L90" s="28" t="n"/>
      <c r="M90" s="28" t="n"/>
      <c r="N90" s="45">
        <f>IF(A90="","",IF(COUNT(I90:M90)=0,"",AVERAGE(I90:M90)))</f>
        <v/>
      </c>
      <c r="O90" s="29" t="n"/>
      <c r="P90" s="29" t="n"/>
    </row>
    <row r="91">
      <c r="A91" s="29" t="n"/>
      <c r="B91" s="29" t="n"/>
      <c r="C91" s="29" t="n"/>
      <c r="D91" s="29" t="n"/>
      <c r="E91" s="31" t="n"/>
      <c r="F91" s="29" t="n"/>
      <c r="G91" s="29" t="n"/>
      <c r="H91" s="28" t="n"/>
      <c r="I91" s="28" t="n"/>
      <c r="J91" s="28" t="n"/>
      <c r="K91" s="28" t="n"/>
      <c r="L91" s="28" t="n"/>
      <c r="M91" s="28" t="n"/>
      <c r="N91" s="45">
        <f>IF(A91="","",IF(COUNT(I91:M91)=0,"",AVERAGE(I91:M91)))</f>
        <v/>
      </c>
      <c r="O91" s="29" t="n"/>
      <c r="P91" s="29" t="n"/>
    </row>
    <row r="92">
      <c r="A92" s="29" t="n"/>
      <c r="B92" s="29" t="n"/>
      <c r="C92" s="29" t="n"/>
      <c r="D92" s="29" t="n"/>
      <c r="E92" s="31" t="n"/>
      <c r="F92" s="29" t="n"/>
      <c r="G92" s="29" t="n"/>
      <c r="H92" s="28" t="n"/>
      <c r="I92" s="28" t="n"/>
      <c r="J92" s="28" t="n"/>
      <c r="K92" s="28" t="n"/>
      <c r="L92" s="28" t="n"/>
      <c r="M92" s="28" t="n"/>
      <c r="N92" s="45">
        <f>IF(A92="","",IF(COUNT(I92:M92)=0,"",AVERAGE(I92:M92)))</f>
        <v/>
      </c>
      <c r="O92" s="29" t="n"/>
      <c r="P92" s="29" t="n"/>
    </row>
    <row r="93">
      <c r="A93" s="29" t="n"/>
      <c r="B93" s="29" t="n"/>
      <c r="C93" s="29" t="n"/>
      <c r="D93" s="29" t="n"/>
      <c r="E93" s="31" t="n"/>
      <c r="F93" s="29" t="n"/>
      <c r="G93" s="29" t="n"/>
      <c r="H93" s="28" t="n"/>
      <c r="I93" s="28" t="n"/>
      <c r="J93" s="28" t="n"/>
      <c r="K93" s="28" t="n"/>
      <c r="L93" s="28" t="n"/>
      <c r="M93" s="28" t="n"/>
      <c r="N93" s="45">
        <f>IF(A93="","",IF(COUNT(I93:M93)=0,"",AVERAGE(I93:M93)))</f>
        <v/>
      </c>
      <c r="O93" s="29" t="n"/>
      <c r="P93" s="29" t="n"/>
    </row>
    <row r="94">
      <c r="A94" s="29" t="n"/>
      <c r="B94" s="29" t="n"/>
      <c r="C94" s="29" t="n"/>
      <c r="D94" s="29" t="n"/>
      <c r="E94" s="31" t="n"/>
      <c r="F94" s="29" t="n"/>
      <c r="G94" s="29" t="n"/>
      <c r="H94" s="28" t="n"/>
      <c r="I94" s="28" t="n"/>
      <c r="J94" s="28" t="n"/>
      <c r="K94" s="28" t="n"/>
      <c r="L94" s="28" t="n"/>
      <c r="M94" s="28" t="n"/>
      <c r="N94" s="45">
        <f>IF(A94="","",IF(COUNT(I94:M94)=0,"",AVERAGE(I94:M94)))</f>
        <v/>
      </c>
      <c r="O94" s="29" t="n"/>
      <c r="P94" s="29" t="n"/>
    </row>
    <row r="95">
      <c r="A95" s="29" t="n"/>
      <c r="B95" s="29" t="n"/>
      <c r="C95" s="29" t="n"/>
      <c r="D95" s="29" t="n"/>
      <c r="E95" s="31" t="n"/>
      <c r="F95" s="29" t="n"/>
      <c r="G95" s="29" t="n"/>
      <c r="H95" s="28" t="n"/>
      <c r="I95" s="28" t="n"/>
      <c r="J95" s="28" t="n"/>
      <c r="K95" s="28" t="n"/>
      <c r="L95" s="28" t="n"/>
      <c r="M95" s="28" t="n"/>
      <c r="N95" s="45">
        <f>IF(A95="","",IF(COUNT(I95:M95)=0,"",AVERAGE(I95:M95)))</f>
        <v/>
      </c>
      <c r="O95" s="29" t="n"/>
      <c r="P95" s="29" t="n"/>
    </row>
    <row r="96">
      <c r="A96" s="29" t="n"/>
      <c r="B96" s="29" t="n"/>
      <c r="C96" s="29" t="n"/>
      <c r="D96" s="29" t="n"/>
      <c r="E96" s="31" t="n"/>
      <c r="F96" s="29" t="n"/>
      <c r="G96" s="29" t="n"/>
      <c r="H96" s="28" t="n"/>
      <c r="I96" s="28" t="n"/>
      <c r="J96" s="28" t="n"/>
      <c r="K96" s="28" t="n"/>
      <c r="L96" s="28" t="n"/>
      <c r="M96" s="28" t="n"/>
      <c r="N96" s="45">
        <f>IF(A96="","",IF(COUNT(I96:M96)=0,"",AVERAGE(I96:M96)))</f>
        <v/>
      </c>
      <c r="O96" s="29" t="n"/>
      <c r="P96" s="29" t="n"/>
    </row>
    <row r="97">
      <c r="A97" s="29" t="n"/>
      <c r="B97" s="29" t="n"/>
      <c r="C97" s="29" t="n"/>
      <c r="D97" s="29" t="n"/>
      <c r="E97" s="31" t="n"/>
      <c r="F97" s="29" t="n"/>
      <c r="G97" s="29" t="n"/>
      <c r="H97" s="28" t="n"/>
      <c r="I97" s="28" t="n"/>
      <c r="J97" s="28" t="n"/>
      <c r="K97" s="28" t="n"/>
      <c r="L97" s="28" t="n"/>
      <c r="M97" s="28" t="n"/>
      <c r="N97" s="45">
        <f>IF(A97="","",IF(COUNT(I97:M97)=0,"",AVERAGE(I97:M97)))</f>
        <v/>
      </c>
      <c r="O97" s="29" t="n"/>
      <c r="P97" s="29" t="n"/>
    </row>
    <row r="98">
      <c r="A98" s="29" t="n"/>
      <c r="B98" s="29" t="n"/>
      <c r="C98" s="29" t="n"/>
      <c r="D98" s="29" t="n"/>
      <c r="E98" s="31" t="n"/>
      <c r="F98" s="29" t="n"/>
      <c r="G98" s="29" t="n"/>
      <c r="H98" s="28" t="n"/>
      <c r="I98" s="28" t="n"/>
      <c r="J98" s="28" t="n"/>
      <c r="K98" s="28" t="n"/>
      <c r="L98" s="28" t="n"/>
      <c r="M98" s="28" t="n"/>
      <c r="N98" s="45">
        <f>IF(A98="","",IF(COUNT(I98:M98)=0,"",AVERAGE(I98:M98)))</f>
        <v/>
      </c>
      <c r="O98" s="29" t="n"/>
      <c r="P98" s="29" t="n"/>
    </row>
    <row r="99">
      <c r="A99" s="29" t="n"/>
      <c r="B99" s="29" t="n"/>
      <c r="C99" s="29" t="n"/>
      <c r="D99" s="29" t="n"/>
      <c r="E99" s="31" t="n"/>
      <c r="F99" s="29" t="n"/>
      <c r="G99" s="29" t="n"/>
      <c r="H99" s="28" t="n"/>
      <c r="I99" s="28" t="n"/>
      <c r="J99" s="28" t="n"/>
      <c r="K99" s="28" t="n"/>
      <c r="L99" s="28" t="n"/>
      <c r="M99" s="28" t="n"/>
      <c r="N99" s="45">
        <f>IF(A99="","",IF(COUNT(I99:M99)=0,"",AVERAGE(I99:M99)))</f>
        <v/>
      </c>
      <c r="O99" s="29" t="n"/>
      <c r="P99" s="29" t="n"/>
    </row>
    <row r="100">
      <c r="A100" s="29" t="n"/>
      <c r="B100" s="29" t="n"/>
      <c r="C100" s="29" t="n"/>
      <c r="D100" s="29" t="n"/>
      <c r="E100" s="31" t="n"/>
      <c r="F100" s="29" t="n"/>
      <c r="G100" s="29" t="n"/>
      <c r="H100" s="28" t="n"/>
      <c r="I100" s="28" t="n"/>
      <c r="J100" s="28" t="n"/>
      <c r="K100" s="28" t="n"/>
      <c r="L100" s="28" t="n"/>
      <c r="M100" s="28" t="n"/>
      <c r="N100" s="45">
        <f>IF(A100="","",IF(COUNT(I100:M100)=0,"",AVERAGE(I100:M100)))</f>
        <v/>
      </c>
      <c r="O100" s="29" t="n"/>
      <c r="P100" s="29" t="n"/>
    </row>
    <row r="101">
      <c r="A101" s="29" t="n"/>
      <c r="B101" s="29" t="n"/>
      <c r="C101" s="29" t="n"/>
      <c r="D101" s="29" t="n"/>
      <c r="E101" s="31" t="n"/>
      <c r="F101" s="29" t="n"/>
      <c r="G101" s="29" t="n"/>
      <c r="H101" s="28" t="n"/>
      <c r="I101" s="28" t="n"/>
      <c r="J101" s="28" t="n"/>
      <c r="K101" s="28" t="n"/>
      <c r="L101" s="28" t="n"/>
      <c r="M101" s="28" t="n"/>
      <c r="N101" s="45">
        <f>IF(A101="","",IF(COUNT(I101:M101)=0,"",AVERAGE(I101:M101)))</f>
        <v/>
      </c>
      <c r="O101" s="29" t="n"/>
      <c r="P101" s="29" t="n"/>
    </row>
    <row r="102">
      <c r="A102" s="29" t="n"/>
      <c r="B102" s="29" t="n"/>
      <c r="C102" s="29" t="n"/>
      <c r="D102" s="29" t="n"/>
      <c r="E102" s="31" t="n"/>
      <c r="F102" s="29" t="n"/>
      <c r="G102" s="29" t="n"/>
      <c r="H102" s="28" t="n"/>
      <c r="I102" s="28" t="n"/>
      <c r="J102" s="28" t="n"/>
      <c r="K102" s="28" t="n"/>
      <c r="L102" s="28" t="n"/>
      <c r="M102" s="28" t="n"/>
      <c r="N102" s="45">
        <f>IF(A102="","",IF(COUNT(I102:M102)=0,"",AVERAGE(I102:M102)))</f>
        <v/>
      </c>
      <c r="O102" s="29" t="n"/>
      <c r="P102" s="29" t="n"/>
    </row>
    <row r="103">
      <c r="A103" s="29" t="n"/>
      <c r="B103" s="29" t="n"/>
      <c r="C103" s="29" t="n"/>
      <c r="D103" s="29" t="n"/>
      <c r="E103" s="31" t="n"/>
      <c r="F103" s="29" t="n"/>
      <c r="G103" s="29" t="n"/>
      <c r="H103" s="28" t="n"/>
      <c r="I103" s="28" t="n"/>
      <c r="J103" s="28" t="n"/>
      <c r="K103" s="28" t="n"/>
      <c r="L103" s="28" t="n"/>
      <c r="M103" s="28" t="n"/>
      <c r="N103" s="45">
        <f>IF(A103="","",IF(COUNT(I103:M103)=0,"",AVERAGE(I103:M103)))</f>
        <v/>
      </c>
      <c r="O103" s="29" t="n"/>
      <c r="P103" s="29" t="n"/>
    </row>
    <row r="104">
      <c r="A104" s="29" t="n"/>
      <c r="B104" s="29" t="n"/>
      <c r="C104" s="29" t="n"/>
      <c r="D104" s="29" t="n"/>
      <c r="E104" s="31" t="n"/>
      <c r="F104" s="29" t="n"/>
      <c r="G104" s="29" t="n"/>
      <c r="H104" s="28" t="n"/>
      <c r="I104" s="28" t="n"/>
      <c r="J104" s="28" t="n"/>
      <c r="K104" s="28" t="n"/>
      <c r="L104" s="28" t="n"/>
      <c r="M104" s="28" t="n"/>
      <c r="N104" s="45">
        <f>IF(A104="","",IF(COUNT(I104:M104)=0,"",AVERAGE(I104:M104)))</f>
        <v/>
      </c>
      <c r="O104" s="29" t="n"/>
      <c r="P104" s="29" t="n"/>
    </row>
    <row r="105">
      <c r="A105" s="29" t="n"/>
      <c r="B105" s="29" t="n"/>
      <c r="C105" s="29" t="n"/>
      <c r="D105" s="29" t="n"/>
      <c r="E105" s="31" t="n"/>
      <c r="F105" s="29" t="n"/>
      <c r="G105" s="29" t="n"/>
      <c r="H105" s="28" t="n"/>
      <c r="I105" s="28" t="n"/>
      <c r="J105" s="28" t="n"/>
      <c r="K105" s="28" t="n"/>
      <c r="L105" s="28" t="n"/>
      <c r="M105" s="28" t="n"/>
      <c r="N105" s="45">
        <f>IF(A105="","",IF(COUNT(I105:M105)=0,"",AVERAGE(I105:M105)))</f>
        <v/>
      </c>
      <c r="O105" s="29" t="n"/>
      <c r="P105" s="29" t="n"/>
    </row>
    <row r="106">
      <c r="A106" s="29" t="n"/>
      <c r="B106" s="29" t="n"/>
      <c r="C106" s="29" t="n"/>
      <c r="D106" s="29" t="n"/>
      <c r="E106" s="31" t="n"/>
      <c r="F106" s="29" t="n"/>
      <c r="G106" s="29" t="n"/>
      <c r="H106" s="28" t="n"/>
      <c r="I106" s="28" t="n"/>
      <c r="J106" s="28" t="n"/>
      <c r="K106" s="28" t="n"/>
      <c r="L106" s="28" t="n"/>
      <c r="M106" s="28" t="n"/>
      <c r="N106" s="45">
        <f>IF(A106="","",IF(COUNT(I106:M106)=0,"",AVERAGE(I106:M106)))</f>
        <v/>
      </c>
      <c r="O106" s="29" t="n"/>
      <c r="P106" s="29" t="n"/>
    </row>
    <row r="107">
      <c r="A107" s="29" t="n"/>
      <c r="B107" s="29" t="n"/>
      <c r="C107" s="29" t="n"/>
      <c r="D107" s="29" t="n"/>
      <c r="E107" s="31" t="n"/>
      <c r="F107" s="29" t="n"/>
      <c r="G107" s="29" t="n"/>
      <c r="H107" s="28" t="n"/>
      <c r="I107" s="28" t="n"/>
      <c r="J107" s="28" t="n"/>
      <c r="K107" s="28" t="n"/>
      <c r="L107" s="28" t="n"/>
      <c r="M107" s="28" t="n"/>
      <c r="N107" s="45">
        <f>IF(A107="","",IF(COUNT(I107:M107)=0,"",AVERAGE(I107:M107)))</f>
        <v/>
      </c>
      <c r="O107" s="29" t="n"/>
      <c r="P107" s="29" t="n"/>
    </row>
    <row r="108">
      <c r="A108" s="29" t="n"/>
      <c r="B108" s="29" t="n"/>
      <c r="C108" s="29" t="n"/>
      <c r="D108" s="29" t="n"/>
      <c r="E108" s="31" t="n"/>
      <c r="F108" s="29" t="n"/>
      <c r="G108" s="29" t="n"/>
      <c r="H108" s="28" t="n"/>
      <c r="I108" s="28" t="n"/>
      <c r="J108" s="28" t="n"/>
      <c r="K108" s="28" t="n"/>
      <c r="L108" s="28" t="n"/>
      <c r="M108" s="28" t="n"/>
      <c r="N108" s="45">
        <f>IF(A108="","",IF(COUNT(I108:M108)=0,"",AVERAGE(I108:M108)))</f>
        <v/>
      </c>
      <c r="O108" s="29" t="n"/>
      <c r="P108" s="29" t="n"/>
    </row>
    <row r="109">
      <c r="A109" s="29" t="n"/>
      <c r="B109" s="29" t="n"/>
      <c r="C109" s="29" t="n"/>
      <c r="D109" s="29" t="n"/>
      <c r="E109" s="31" t="n"/>
      <c r="F109" s="29" t="n"/>
      <c r="G109" s="29" t="n"/>
      <c r="H109" s="28" t="n"/>
      <c r="I109" s="28" t="n"/>
      <c r="J109" s="28" t="n"/>
      <c r="K109" s="28" t="n"/>
      <c r="L109" s="28" t="n"/>
      <c r="M109" s="28" t="n"/>
      <c r="N109" s="45">
        <f>IF(A109="","",IF(COUNT(I109:M109)=0,"",AVERAGE(I109:M109)))</f>
        <v/>
      </c>
      <c r="O109" s="29" t="n"/>
      <c r="P109" s="29" t="n"/>
    </row>
    <row r="110">
      <c r="A110" s="29" t="n"/>
      <c r="B110" s="29" t="n"/>
      <c r="C110" s="29" t="n"/>
      <c r="D110" s="29" t="n"/>
      <c r="E110" s="31" t="n"/>
      <c r="F110" s="29" t="n"/>
      <c r="G110" s="29" t="n"/>
      <c r="H110" s="28" t="n"/>
      <c r="I110" s="28" t="n"/>
      <c r="J110" s="28" t="n"/>
      <c r="K110" s="28" t="n"/>
      <c r="L110" s="28" t="n"/>
      <c r="M110" s="28" t="n"/>
      <c r="N110" s="45">
        <f>IF(A110="","",IF(COUNT(I110:M110)=0,"",AVERAGE(I110:M110)))</f>
        <v/>
      </c>
      <c r="O110" s="29" t="n"/>
      <c r="P110" s="29" t="n"/>
    </row>
    <row r="111">
      <c r="A111" s="29" t="n"/>
      <c r="B111" s="29" t="n"/>
      <c r="C111" s="29" t="n"/>
      <c r="D111" s="29" t="n"/>
      <c r="E111" s="31" t="n"/>
      <c r="F111" s="29" t="n"/>
      <c r="G111" s="29" t="n"/>
      <c r="H111" s="28" t="n"/>
      <c r="I111" s="28" t="n"/>
      <c r="J111" s="28" t="n"/>
      <c r="K111" s="28" t="n"/>
      <c r="L111" s="28" t="n"/>
      <c r="M111" s="28" t="n"/>
      <c r="N111" s="45">
        <f>IF(A111="","",IF(COUNT(I111:M111)=0,"",AVERAGE(I111:M111)))</f>
        <v/>
      </c>
      <c r="O111" s="29" t="n"/>
      <c r="P111" s="29" t="n"/>
    </row>
    <row r="112">
      <c r="A112" s="29" t="n"/>
      <c r="B112" s="29" t="n"/>
      <c r="C112" s="29" t="n"/>
      <c r="D112" s="29" t="n"/>
      <c r="E112" s="31" t="n"/>
      <c r="F112" s="29" t="n"/>
      <c r="G112" s="29" t="n"/>
      <c r="H112" s="28" t="n"/>
      <c r="I112" s="28" t="n"/>
      <c r="J112" s="28" t="n"/>
      <c r="K112" s="28" t="n"/>
      <c r="L112" s="28" t="n"/>
      <c r="M112" s="28" t="n"/>
      <c r="N112" s="45">
        <f>IF(A112="","",IF(COUNT(I112:M112)=0,"",AVERAGE(I112:M112)))</f>
        <v/>
      </c>
      <c r="O112" s="29" t="n"/>
      <c r="P112" s="29" t="n"/>
    </row>
    <row r="113">
      <c r="A113" s="29" t="n"/>
      <c r="B113" s="29" t="n"/>
      <c r="C113" s="29" t="n"/>
      <c r="D113" s="29" t="n"/>
      <c r="E113" s="31" t="n"/>
      <c r="F113" s="29" t="n"/>
      <c r="G113" s="29" t="n"/>
      <c r="H113" s="28" t="n"/>
      <c r="I113" s="28" t="n"/>
      <c r="J113" s="28" t="n"/>
      <c r="K113" s="28" t="n"/>
      <c r="L113" s="28" t="n"/>
      <c r="M113" s="28" t="n"/>
      <c r="N113" s="45">
        <f>IF(A113="","",IF(COUNT(I113:M113)=0,"",AVERAGE(I113:M113)))</f>
        <v/>
      </c>
      <c r="O113" s="29" t="n"/>
      <c r="P113" s="29" t="n"/>
    </row>
    <row r="114">
      <c r="A114" s="29" t="n"/>
      <c r="B114" s="29" t="n"/>
      <c r="C114" s="29" t="n"/>
      <c r="D114" s="29" t="n"/>
      <c r="E114" s="31" t="n"/>
      <c r="F114" s="29" t="n"/>
      <c r="G114" s="29" t="n"/>
      <c r="H114" s="28" t="n"/>
      <c r="I114" s="28" t="n"/>
      <c r="J114" s="28" t="n"/>
      <c r="K114" s="28" t="n"/>
      <c r="L114" s="28" t="n"/>
      <c r="M114" s="28" t="n"/>
      <c r="N114" s="45">
        <f>IF(A114="","",IF(COUNT(I114:M114)=0,"",AVERAGE(I114:M114)))</f>
        <v/>
      </c>
      <c r="O114" s="29" t="n"/>
      <c r="P114" s="29" t="n"/>
    </row>
    <row r="115">
      <c r="A115" s="29" t="n"/>
      <c r="B115" s="29" t="n"/>
      <c r="C115" s="29" t="n"/>
      <c r="D115" s="29" t="n"/>
      <c r="E115" s="31" t="n"/>
      <c r="F115" s="29" t="n"/>
      <c r="G115" s="29" t="n"/>
      <c r="H115" s="28" t="n"/>
      <c r="I115" s="28" t="n"/>
      <c r="J115" s="28" t="n"/>
      <c r="K115" s="28" t="n"/>
      <c r="L115" s="28" t="n"/>
      <c r="M115" s="28" t="n"/>
      <c r="N115" s="45">
        <f>IF(A115="","",IF(COUNT(I115:M115)=0,"",AVERAGE(I115:M115)))</f>
        <v/>
      </c>
      <c r="O115" s="29" t="n"/>
      <c r="P115" s="29" t="n"/>
    </row>
    <row r="116">
      <c r="A116" s="29" t="n"/>
      <c r="B116" s="29" t="n"/>
      <c r="C116" s="29" t="n"/>
      <c r="D116" s="29" t="n"/>
      <c r="E116" s="31" t="n"/>
      <c r="F116" s="29" t="n"/>
      <c r="G116" s="29" t="n"/>
      <c r="H116" s="28" t="n"/>
      <c r="I116" s="28" t="n"/>
      <c r="J116" s="28" t="n"/>
      <c r="K116" s="28" t="n"/>
      <c r="L116" s="28" t="n"/>
      <c r="M116" s="28" t="n"/>
      <c r="N116" s="45">
        <f>IF(A116="","",IF(COUNT(I116:M116)=0,"",AVERAGE(I116:M116)))</f>
        <v/>
      </c>
      <c r="O116" s="29" t="n"/>
      <c r="P116" s="29" t="n"/>
    </row>
    <row r="117">
      <c r="A117" s="29" t="n"/>
      <c r="B117" s="29" t="n"/>
      <c r="C117" s="29" t="n"/>
      <c r="D117" s="29" t="n"/>
      <c r="E117" s="31" t="n"/>
      <c r="F117" s="29" t="n"/>
      <c r="G117" s="29" t="n"/>
      <c r="H117" s="28" t="n"/>
      <c r="I117" s="28" t="n"/>
      <c r="J117" s="28" t="n"/>
      <c r="K117" s="28" t="n"/>
      <c r="L117" s="28" t="n"/>
      <c r="M117" s="28" t="n"/>
      <c r="N117" s="45">
        <f>IF(A117="","",IF(COUNT(I117:M117)=0,"",AVERAGE(I117:M117)))</f>
        <v/>
      </c>
      <c r="O117" s="29" t="n"/>
      <c r="P117" s="29" t="n"/>
    </row>
    <row r="118">
      <c r="A118" s="29" t="n"/>
      <c r="B118" s="29" t="n"/>
      <c r="C118" s="29" t="n"/>
      <c r="D118" s="29" t="n"/>
      <c r="E118" s="31" t="n"/>
      <c r="F118" s="29" t="n"/>
      <c r="G118" s="29" t="n"/>
      <c r="H118" s="28" t="n"/>
      <c r="I118" s="28" t="n"/>
      <c r="J118" s="28" t="n"/>
      <c r="K118" s="28" t="n"/>
      <c r="L118" s="28" t="n"/>
      <c r="M118" s="28" t="n"/>
      <c r="N118" s="45">
        <f>IF(A118="","",IF(COUNT(I118:M118)=0,"",AVERAGE(I118:M118)))</f>
        <v/>
      </c>
      <c r="O118" s="29" t="n"/>
      <c r="P118" s="29" t="n"/>
    </row>
    <row r="119">
      <c r="A119" s="29" t="n"/>
      <c r="B119" s="29" t="n"/>
      <c r="C119" s="29" t="n"/>
      <c r="D119" s="29" t="n"/>
      <c r="E119" s="31" t="n"/>
      <c r="F119" s="29" t="n"/>
      <c r="G119" s="29" t="n"/>
      <c r="H119" s="28" t="n"/>
      <c r="I119" s="28" t="n"/>
      <c r="J119" s="28" t="n"/>
      <c r="K119" s="28" t="n"/>
      <c r="L119" s="28" t="n"/>
      <c r="M119" s="28" t="n"/>
      <c r="N119" s="45">
        <f>IF(A119="","",IF(COUNT(I119:M119)=0,"",AVERAGE(I119:M119)))</f>
        <v/>
      </c>
      <c r="O119" s="29" t="n"/>
      <c r="P119" s="29" t="n"/>
    </row>
    <row r="120">
      <c r="A120" s="29" t="n"/>
      <c r="B120" s="29" t="n"/>
      <c r="C120" s="29" t="n"/>
      <c r="D120" s="29" t="n"/>
      <c r="E120" s="31" t="n"/>
      <c r="F120" s="29" t="n"/>
      <c r="G120" s="29" t="n"/>
      <c r="H120" s="28" t="n"/>
      <c r="I120" s="28" t="n"/>
      <c r="J120" s="28" t="n"/>
      <c r="K120" s="28" t="n"/>
      <c r="L120" s="28" t="n"/>
      <c r="M120" s="28" t="n"/>
      <c r="N120" s="45">
        <f>IF(A120="","",IF(COUNT(I120:M120)=0,"",AVERAGE(I120:M120)))</f>
        <v/>
      </c>
      <c r="O120" s="29" t="n"/>
      <c r="P120" s="29" t="n"/>
    </row>
    <row r="121">
      <c r="A121" s="29" t="n"/>
      <c r="B121" s="29" t="n"/>
      <c r="C121" s="29" t="n"/>
      <c r="D121" s="29" t="n"/>
      <c r="E121" s="31" t="n"/>
      <c r="F121" s="29" t="n"/>
      <c r="G121" s="29" t="n"/>
      <c r="H121" s="28" t="n"/>
      <c r="I121" s="28" t="n"/>
      <c r="J121" s="28" t="n"/>
      <c r="K121" s="28" t="n"/>
      <c r="L121" s="28" t="n"/>
      <c r="M121" s="28" t="n"/>
      <c r="N121" s="45">
        <f>IF(A121="","",IF(COUNT(I121:M121)=0,"",AVERAGE(I121:M121)))</f>
        <v/>
      </c>
      <c r="O121" s="29" t="n"/>
      <c r="P121" s="29" t="n"/>
    </row>
    <row r="122">
      <c r="A122" s="29" t="n"/>
      <c r="B122" s="29" t="n"/>
      <c r="C122" s="29" t="n"/>
      <c r="D122" s="29" t="n"/>
      <c r="E122" s="31" t="n"/>
      <c r="F122" s="29" t="n"/>
      <c r="G122" s="29" t="n"/>
      <c r="H122" s="28" t="n"/>
      <c r="I122" s="28" t="n"/>
      <c r="J122" s="28" t="n"/>
      <c r="K122" s="28" t="n"/>
      <c r="L122" s="28" t="n"/>
      <c r="M122" s="28" t="n"/>
      <c r="N122" s="45">
        <f>IF(A122="","",IF(COUNT(I122:M122)=0,"",AVERAGE(I122:M122)))</f>
        <v/>
      </c>
      <c r="O122" s="29" t="n"/>
      <c r="P122" s="29" t="n"/>
    </row>
    <row r="123">
      <c r="A123" s="29" t="n"/>
      <c r="B123" s="29" t="n"/>
      <c r="C123" s="29" t="n"/>
      <c r="D123" s="29" t="n"/>
      <c r="E123" s="31" t="n"/>
      <c r="F123" s="29" t="n"/>
      <c r="G123" s="29" t="n"/>
      <c r="H123" s="28" t="n"/>
      <c r="I123" s="28" t="n"/>
      <c r="J123" s="28" t="n"/>
      <c r="K123" s="28" t="n"/>
      <c r="L123" s="28" t="n"/>
      <c r="M123" s="28" t="n"/>
      <c r="N123" s="45">
        <f>IF(A123="","",IF(COUNT(I123:M123)=0,"",AVERAGE(I123:M123)))</f>
        <v/>
      </c>
      <c r="O123" s="29" t="n"/>
      <c r="P123" s="29" t="n"/>
    </row>
    <row r="124">
      <c r="A124" s="29" t="n"/>
      <c r="B124" s="29" t="n"/>
      <c r="C124" s="29" t="n"/>
      <c r="D124" s="29" t="n"/>
      <c r="E124" s="31" t="n"/>
      <c r="F124" s="29" t="n"/>
      <c r="G124" s="29" t="n"/>
      <c r="H124" s="28" t="n"/>
      <c r="I124" s="28" t="n"/>
      <c r="J124" s="28" t="n"/>
      <c r="K124" s="28" t="n"/>
      <c r="L124" s="28" t="n"/>
      <c r="M124" s="28" t="n"/>
      <c r="N124" s="45">
        <f>IF(A124="","",IF(COUNT(I124:M124)=0,"",AVERAGE(I124:M124)))</f>
        <v/>
      </c>
      <c r="O124" s="29" t="n"/>
      <c r="P124" s="29" t="n"/>
    </row>
    <row r="125">
      <c r="A125" s="29" t="n"/>
      <c r="B125" s="29" t="n"/>
      <c r="C125" s="29" t="n"/>
      <c r="D125" s="29" t="n"/>
      <c r="E125" s="31" t="n"/>
      <c r="F125" s="29" t="n"/>
      <c r="G125" s="29" t="n"/>
      <c r="H125" s="28" t="n"/>
      <c r="I125" s="28" t="n"/>
      <c r="J125" s="28" t="n"/>
      <c r="K125" s="28" t="n"/>
      <c r="L125" s="28" t="n"/>
      <c r="M125" s="28" t="n"/>
      <c r="N125" s="45">
        <f>IF(A125="","",IF(COUNT(I125:M125)=0,"",AVERAGE(I125:M125)))</f>
        <v/>
      </c>
      <c r="O125" s="29" t="n"/>
      <c r="P125" s="29" t="n"/>
    </row>
    <row r="126">
      <c r="A126" s="29" t="n"/>
      <c r="B126" s="29" t="n"/>
      <c r="C126" s="29" t="n"/>
      <c r="D126" s="29" t="n"/>
      <c r="E126" s="31" t="n"/>
      <c r="F126" s="29" t="n"/>
      <c r="G126" s="29" t="n"/>
      <c r="H126" s="28" t="n"/>
      <c r="I126" s="28" t="n"/>
      <c r="J126" s="28" t="n"/>
      <c r="K126" s="28" t="n"/>
      <c r="L126" s="28" t="n"/>
      <c r="M126" s="28" t="n"/>
      <c r="N126" s="45">
        <f>IF(A126="","",IF(COUNT(I126:M126)=0,"",AVERAGE(I126:M126)))</f>
        <v/>
      </c>
      <c r="O126" s="29" t="n"/>
      <c r="P126" s="29" t="n"/>
    </row>
    <row r="127">
      <c r="A127" s="29" t="n"/>
      <c r="B127" s="29" t="n"/>
      <c r="C127" s="29" t="n"/>
      <c r="D127" s="29" t="n"/>
      <c r="E127" s="31" t="n"/>
      <c r="F127" s="29" t="n"/>
      <c r="G127" s="29" t="n"/>
      <c r="H127" s="28" t="n"/>
      <c r="I127" s="28" t="n"/>
      <c r="J127" s="28" t="n"/>
      <c r="K127" s="28" t="n"/>
      <c r="L127" s="28" t="n"/>
      <c r="M127" s="28" t="n"/>
      <c r="N127" s="45">
        <f>IF(A127="","",IF(COUNT(I127:M127)=0,"",AVERAGE(I127:M127)))</f>
        <v/>
      </c>
      <c r="O127" s="29" t="n"/>
      <c r="P127" s="29" t="n"/>
    </row>
    <row r="128">
      <c r="A128" s="29" t="n"/>
      <c r="B128" s="29" t="n"/>
      <c r="C128" s="29" t="n"/>
      <c r="D128" s="29" t="n"/>
      <c r="E128" s="31" t="n"/>
      <c r="F128" s="29" t="n"/>
      <c r="G128" s="29" t="n"/>
      <c r="H128" s="28" t="n"/>
      <c r="I128" s="28" t="n"/>
      <c r="J128" s="28" t="n"/>
      <c r="K128" s="28" t="n"/>
      <c r="L128" s="28" t="n"/>
      <c r="M128" s="28" t="n"/>
      <c r="N128" s="45">
        <f>IF(A128="","",IF(COUNT(I128:M128)=0,"",AVERAGE(I128:M128)))</f>
        <v/>
      </c>
      <c r="O128" s="29" t="n"/>
      <c r="P128" s="29" t="n"/>
    </row>
    <row r="129">
      <c r="A129" s="29" t="n"/>
      <c r="B129" s="29" t="n"/>
      <c r="C129" s="29" t="n"/>
      <c r="D129" s="29" t="n"/>
      <c r="E129" s="31" t="n"/>
      <c r="F129" s="29" t="n"/>
      <c r="G129" s="29" t="n"/>
      <c r="H129" s="28" t="n"/>
      <c r="I129" s="28" t="n"/>
      <c r="J129" s="28" t="n"/>
      <c r="K129" s="28" t="n"/>
      <c r="L129" s="28" t="n"/>
      <c r="M129" s="28" t="n"/>
      <c r="N129" s="45">
        <f>IF(A129="","",IF(COUNT(I129:M129)=0,"",AVERAGE(I129:M129)))</f>
        <v/>
      </c>
      <c r="O129" s="29" t="n"/>
      <c r="P129" s="29" t="n"/>
    </row>
    <row r="130">
      <c r="A130" s="29" t="n"/>
      <c r="B130" s="29" t="n"/>
      <c r="C130" s="29" t="n"/>
      <c r="D130" s="29" t="n"/>
      <c r="E130" s="31" t="n"/>
      <c r="F130" s="29" t="n"/>
      <c r="G130" s="29" t="n"/>
      <c r="H130" s="28" t="n"/>
      <c r="I130" s="28" t="n"/>
      <c r="J130" s="28" t="n"/>
      <c r="K130" s="28" t="n"/>
      <c r="L130" s="28" t="n"/>
      <c r="M130" s="28" t="n"/>
      <c r="N130" s="45">
        <f>IF(A130="","",IF(COUNT(I130:M130)=0,"",AVERAGE(I130:M130)))</f>
        <v/>
      </c>
      <c r="O130" s="29" t="n"/>
      <c r="P130" s="29" t="n"/>
    </row>
    <row r="131">
      <c r="A131" s="29" t="n"/>
      <c r="B131" s="29" t="n"/>
      <c r="C131" s="29" t="n"/>
      <c r="D131" s="29" t="n"/>
      <c r="E131" s="31" t="n"/>
      <c r="F131" s="29" t="n"/>
      <c r="G131" s="29" t="n"/>
      <c r="H131" s="28" t="n"/>
      <c r="I131" s="28" t="n"/>
      <c r="J131" s="28" t="n"/>
      <c r="K131" s="28" t="n"/>
      <c r="L131" s="28" t="n"/>
      <c r="M131" s="28" t="n"/>
      <c r="N131" s="45">
        <f>IF(A131="","",IF(COUNT(I131:M131)=0,"",AVERAGE(I131:M131)))</f>
        <v/>
      </c>
      <c r="O131" s="29" t="n"/>
      <c r="P131" s="29" t="n"/>
    </row>
    <row r="132">
      <c r="A132" s="29" t="n"/>
      <c r="B132" s="29" t="n"/>
      <c r="C132" s="29" t="n"/>
      <c r="D132" s="29" t="n"/>
      <c r="E132" s="31" t="n"/>
      <c r="F132" s="29" t="n"/>
      <c r="G132" s="29" t="n"/>
      <c r="H132" s="28" t="n"/>
      <c r="I132" s="28" t="n"/>
      <c r="J132" s="28" t="n"/>
      <c r="K132" s="28" t="n"/>
      <c r="L132" s="28" t="n"/>
      <c r="M132" s="28" t="n"/>
      <c r="N132" s="45">
        <f>IF(A132="","",IF(COUNT(I132:M132)=0,"",AVERAGE(I132:M132)))</f>
        <v/>
      </c>
      <c r="O132" s="29" t="n"/>
      <c r="P132" s="29" t="n"/>
    </row>
    <row r="133">
      <c r="A133" s="29" t="n"/>
      <c r="B133" s="29" t="n"/>
      <c r="C133" s="29" t="n"/>
      <c r="D133" s="29" t="n"/>
      <c r="E133" s="31" t="n"/>
      <c r="F133" s="29" t="n"/>
      <c r="G133" s="29" t="n"/>
      <c r="H133" s="28" t="n"/>
      <c r="I133" s="28" t="n"/>
      <c r="J133" s="28" t="n"/>
      <c r="K133" s="28" t="n"/>
      <c r="L133" s="28" t="n"/>
      <c r="M133" s="28" t="n"/>
      <c r="N133" s="45">
        <f>IF(A133="","",IF(COUNT(I133:M133)=0,"",AVERAGE(I133:M133)))</f>
        <v/>
      </c>
      <c r="O133" s="29" t="n"/>
      <c r="P133" s="29" t="n"/>
    </row>
    <row r="134">
      <c r="A134" s="29" t="n"/>
      <c r="B134" s="29" t="n"/>
      <c r="C134" s="29" t="n"/>
      <c r="D134" s="29" t="n"/>
      <c r="E134" s="31" t="n"/>
      <c r="F134" s="29" t="n"/>
      <c r="G134" s="29" t="n"/>
      <c r="H134" s="28" t="n"/>
      <c r="I134" s="28" t="n"/>
      <c r="J134" s="28" t="n"/>
      <c r="K134" s="28" t="n"/>
      <c r="L134" s="28" t="n"/>
      <c r="M134" s="28" t="n"/>
      <c r="N134" s="45">
        <f>IF(A134="","",IF(COUNT(I134:M134)=0,"",AVERAGE(I134:M134)))</f>
        <v/>
      </c>
      <c r="O134" s="29" t="n"/>
      <c r="P134" s="29" t="n"/>
    </row>
    <row r="135">
      <c r="A135" s="29" t="n"/>
      <c r="B135" s="29" t="n"/>
      <c r="C135" s="29" t="n"/>
      <c r="D135" s="29" t="n"/>
      <c r="E135" s="31" t="n"/>
      <c r="F135" s="29" t="n"/>
      <c r="G135" s="29" t="n"/>
      <c r="H135" s="28" t="n"/>
      <c r="I135" s="28" t="n"/>
      <c r="J135" s="28" t="n"/>
      <c r="K135" s="28" t="n"/>
      <c r="L135" s="28" t="n"/>
      <c r="M135" s="28" t="n"/>
      <c r="N135" s="45">
        <f>IF(A135="","",IF(COUNT(I135:M135)=0,"",AVERAGE(I135:M135)))</f>
        <v/>
      </c>
      <c r="O135" s="29" t="n"/>
      <c r="P135" s="29" t="n"/>
    </row>
    <row r="136">
      <c r="A136" s="29" t="n"/>
      <c r="B136" s="29" t="n"/>
      <c r="C136" s="29" t="n"/>
      <c r="D136" s="29" t="n"/>
      <c r="E136" s="31" t="n"/>
      <c r="F136" s="29" t="n"/>
      <c r="G136" s="29" t="n"/>
      <c r="H136" s="28" t="n"/>
      <c r="I136" s="28" t="n"/>
      <c r="J136" s="28" t="n"/>
      <c r="K136" s="28" t="n"/>
      <c r="L136" s="28" t="n"/>
      <c r="M136" s="28" t="n"/>
      <c r="N136" s="45">
        <f>IF(A136="","",IF(COUNT(I136:M136)=0,"",AVERAGE(I136:M136)))</f>
        <v/>
      </c>
      <c r="O136" s="29" t="n"/>
      <c r="P136" s="29" t="n"/>
    </row>
    <row r="137">
      <c r="A137" s="29" t="n"/>
      <c r="B137" s="29" t="n"/>
      <c r="C137" s="29" t="n"/>
      <c r="D137" s="29" t="n"/>
      <c r="E137" s="31" t="n"/>
      <c r="F137" s="29" t="n"/>
      <c r="G137" s="29" t="n"/>
      <c r="H137" s="28" t="n"/>
      <c r="I137" s="28" t="n"/>
      <c r="J137" s="28" t="n"/>
      <c r="K137" s="28" t="n"/>
      <c r="L137" s="28" t="n"/>
      <c r="M137" s="28" t="n"/>
      <c r="N137" s="45">
        <f>IF(A137="","",IF(COUNT(I137:M137)=0,"",AVERAGE(I137:M137)))</f>
        <v/>
      </c>
      <c r="O137" s="29" t="n"/>
      <c r="P137" s="29" t="n"/>
    </row>
    <row r="138">
      <c r="A138" s="29" t="n"/>
      <c r="B138" s="29" t="n"/>
      <c r="C138" s="29" t="n"/>
      <c r="D138" s="29" t="n"/>
      <c r="E138" s="31" t="n"/>
      <c r="F138" s="29" t="n"/>
      <c r="G138" s="29" t="n"/>
      <c r="H138" s="28" t="n"/>
      <c r="I138" s="28" t="n"/>
      <c r="J138" s="28" t="n"/>
      <c r="K138" s="28" t="n"/>
      <c r="L138" s="28" t="n"/>
      <c r="M138" s="28" t="n"/>
      <c r="N138" s="45">
        <f>IF(A138="","",IF(COUNT(I138:M138)=0,"",AVERAGE(I138:M138)))</f>
        <v/>
      </c>
      <c r="O138" s="29" t="n"/>
      <c r="P138" s="29" t="n"/>
    </row>
    <row r="139">
      <c r="A139" s="29" t="n"/>
      <c r="B139" s="29" t="n"/>
      <c r="C139" s="29" t="n"/>
      <c r="D139" s="29" t="n"/>
      <c r="E139" s="31" t="n"/>
      <c r="F139" s="29" t="n"/>
      <c r="G139" s="29" t="n"/>
      <c r="H139" s="28" t="n"/>
      <c r="I139" s="28" t="n"/>
      <c r="J139" s="28" t="n"/>
      <c r="K139" s="28" t="n"/>
      <c r="L139" s="28" t="n"/>
      <c r="M139" s="28" t="n"/>
      <c r="N139" s="45">
        <f>IF(A139="","",IF(COUNT(I139:M139)=0,"",AVERAGE(I139:M139)))</f>
        <v/>
      </c>
      <c r="O139" s="29" t="n"/>
      <c r="P139" s="29" t="n"/>
    </row>
    <row r="140">
      <c r="A140" s="29" t="n"/>
      <c r="B140" s="29" t="n"/>
      <c r="C140" s="29" t="n"/>
      <c r="D140" s="29" t="n"/>
      <c r="E140" s="31" t="n"/>
      <c r="F140" s="29" t="n"/>
      <c r="G140" s="29" t="n"/>
      <c r="H140" s="28" t="n"/>
      <c r="I140" s="28" t="n"/>
      <c r="J140" s="28" t="n"/>
      <c r="K140" s="28" t="n"/>
      <c r="L140" s="28" t="n"/>
      <c r="M140" s="28" t="n"/>
      <c r="N140" s="45">
        <f>IF(A140="","",IF(COUNT(I140:M140)=0,"",AVERAGE(I140:M140)))</f>
        <v/>
      </c>
      <c r="O140" s="29" t="n"/>
      <c r="P140" s="29" t="n"/>
    </row>
    <row r="141">
      <c r="A141" s="29" t="n"/>
      <c r="B141" s="29" t="n"/>
      <c r="C141" s="29" t="n"/>
      <c r="D141" s="29" t="n"/>
      <c r="E141" s="31" t="n"/>
      <c r="F141" s="29" t="n"/>
      <c r="G141" s="29" t="n"/>
      <c r="H141" s="28" t="n"/>
      <c r="I141" s="28" t="n"/>
      <c r="J141" s="28" t="n"/>
      <c r="K141" s="28" t="n"/>
      <c r="L141" s="28" t="n"/>
      <c r="M141" s="28" t="n"/>
      <c r="N141" s="45">
        <f>IF(A141="","",IF(COUNT(I141:M141)=0,"",AVERAGE(I141:M141)))</f>
        <v/>
      </c>
      <c r="O141" s="29" t="n"/>
      <c r="P141" s="29" t="n"/>
    </row>
    <row r="142">
      <c r="A142" s="29" t="n"/>
      <c r="B142" s="29" t="n"/>
      <c r="C142" s="29" t="n"/>
      <c r="D142" s="29" t="n"/>
      <c r="E142" s="31" t="n"/>
      <c r="F142" s="29" t="n"/>
      <c r="G142" s="29" t="n"/>
      <c r="H142" s="28" t="n"/>
      <c r="I142" s="28" t="n"/>
      <c r="J142" s="28" t="n"/>
      <c r="K142" s="28" t="n"/>
      <c r="L142" s="28" t="n"/>
      <c r="M142" s="28" t="n"/>
      <c r="N142" s="45">
        <f>IF(A142="","",IF(COUNT(I142:M142)=0,"",AVERAGE(I142:M142)))</f>
        <v/>
      </c>
      <c r="O142" s="29" t="n"/>
      <c r="P142" s="29" t="n"/>
    </row>
    <row r="143">
      <c r="A143" s="29" t="n"/>
      <c r="B143" s="29" t="n"/>
      <c r="C143" s="29" t="n"/>
      <c r="D143" s="29" t="n"/>
      <c r="E143" s="31" t="n"/>
      <c r="F143" s="29" t="n"/>
      <c r="G143" s="29" t="n"/>
      <c r="H143" s="28" t="n"/>
      <c r="I143" s="28" t="n"/>
      <c r="J143" s="28" t="n"/>
      <c r="K143" s="28" t="n"/>
      <c r="L143" s="28" t="n"/>
      <c r="M143" s="28" t="n"/>
      <c r="N143" s="45">
        <f>IF(A143="","",IF(COUNT(I143:M143)=0,"",AVERAGE(I143:M143)))</f>
        <v/>
      </c>
      <c r="O143" s="29" t="n"/>
      <c r="P143" s="29" t="n"/>
    </row>
    <row r="144">
      <c r="A144" s="29" t="n"/>
      <c r="B144" s="29" t="n"/>
      <c r="C144" s="29" t="n"/>
      <c r="D144" s="29" t="n"/>
      <c r="E144" s="31" t="n"/>
      <c r="F144" s="29" t="n"/>
      <c r="G144" s="29" t="n"/>
      <c r="H144" s="28" t="n"/>
      <c r="I144" s="28" t="n"/>
      <c r="J144" s="28" t="n"/>
      <c r="K144" s="28" t="n"/>
      <c r="L144" s="28" t="n"/>
      <c r="M144" s="28" t="n"/>
      <c r="N144" s="45">
        <f>IF(A144="","",IF(COUNT(I144:M144)=0,"",AVERAGE(I144:M144)))</f>
        <v/>
      </c>
      <c r="O144" s="29" t="n"/>
      <c r="P144" s="29" t="n"/>
    </row>
    <row r="145">
      <c r="A145" s="29" t="n"/>
      <c r="B145" s="29" t="n"/>
      <c r="C145" s="29" t="n"/>
      <c r="D145" s="29" t="n"/>
      <c r="E145" s="31" t="n"/>
      <c r="F145" s="29" t="n"/>
      <c r="G145" s="29" t="n"/>
      <c r="H145" s="28" t="n"/>
      <c r="I145" s="28" t="n"/>
      <c r="J145" s="28" t="n"/>
      <c r="K145" s="28" t="n"/>
      <c r="L145" s="28" t="n"/>
      <c r="M145" s="28" t="n"/>
      <c r="N145" s="45">
        <f>IF(A145="","",IF(COUNT(I145:M145)=0,"",AVERAGE(I145:M145)))</f>
        <v/>
      </c>
      <c r="O145" s="29" t="n"/>
      <c r="P145" s="29" t="n"/>
    </row>
    <row r="146">
      <c r="A146" s="29" t="n"/>
      <c r="B146" s="29" t="n"/>
      <c r="C146" s="29" t="n"/>
      <c r="D146" s="29" t="n"/>
      <c r="E146" s="31" t="n"/>
      <c r="F146" s="29" t="n"/>
      <c r="G146" s="29" t="n"/>
      <c r="H146" s="28" t="n"/>
      <c r="I146" s="28" t="n"/>
      <c r="J146" s="28" t="n"/>
      <c r="K146" s="28" t="n"/>
      <c r="L146" s="28" t="n"/>
      <c r="M146" s="28" t="n"/>
      <c r="N146" s="45">
        <f>IF(A146="","",IF(COUNT(I146:M146)=0,"",AVERAGE(I146:M146)))</f>
        <v/>
      </c>
      <c r="O146" s="29" t="n"/>
      <c r="P146" s="29" t="n"/>
    </row>
    <row r="147">
      <c r="A147" s="29" t="n"/>
      <c r="B147" s="29" t="n"/>
      <c r="C147" s="29" t="n"/>
      <c r="D147" s="29" t="n"/>
      <c r="E147" s="31" t="n"/>
      <c r="F147" s="29" t="n"/>
      <c r="G147" s="29" t="n"/>
      <c r="H147" s="28" t="n"/>
      <c r="I147" s="28" t="n"/>
      <c r="J147" s="28" t="n"/>
      <c r="K147" s="28" t="n"/>
      <c r="L147" s="28" t="n"/>
      <c r="M147" s="28" t="n"/>
      <c r="N147" s="45">
        <f>IF(A147="","",IF(COUNT(I147:M147)=0,"",AVERAGE(I147:M147)))</f>
        <v/>
      </c>
      <c r="O147" s="29" t="n"/>
      <c r="P147" s="29" t="n"/>
    </row>
    <row r="148">
      <c r="A148" s="29" t="n"/>
      <c r="B148" s="29" t="n"/>
      <c r="C148" s="29" t="n"/>
      <c r="D148" s="29" t="n"/>
      <c r="E148" s="31" t="n"/>
      <c r="F148" s="29" t="n"/>
      <c r="G148" s="29" t="n"/>
      <c r="H148" s="28" t="n"/>
      <c r="I148" s="28" t="n"/>
      <c r="J148" s="28" t="n"/>
      <c r="K148" s="28" t="n"/>
      <c r="L148" s="28" t="n"/>
      <c r="M148" s="28" t="n"/>
      <c r="N148" s="45">
        <f>IF(A148="","",IF(COUNT(I148:M148)=0,"",AVERAGE(I148:M148)))</f>
        <v/>
      </c>
      <c r="O148" s="29" t="n"/>
      <c r="P148" s="29" t="n"/>
    </row>
    <row r="149">
      <c r="A149" s="29" t="n"/>
      <c r="B149" s="29" t="n"/>
      <c r="C149" s="29" t="n"/>
      <c r="D149" s="29" t="n"/>
      <c r="E149" s="31" t="n"/>
      <c r="F149" s="29" t="n"/>
      <c r="G149" s="29" t="n"/>
      <c r="H149" s="28" t="n"/>
      <c r="I149" s="28" t="n"/>
      <c r="J149" s="28" t="n"/>
      <c r="K149" s="28" t="n"/>
      <c r="L149" s="28" t="n"/>
      <c r="M149" s="28" t="n"/>
      <c r="N149" s="45">
        <f>IF(A149="","",IF(COUNT(I149:M149)=0,"",AVERAGE(I149:M149)))</f>
        <v/>
      </c>
      <c r="O149" s="29" t="n"/>
      <c r="P149" s="29" t="n"/>
    </row>
    <row r="150">
      <c r="A150" s="29" t="n"/>
      <c r="B150" s="29" t="n"/>
      <c r="C150" s="29" t="n"/>
      <c r="D150" s="29" t="n"/>
      <c r="E150" s="31" t="n"/>
      <c r="F150" s="29" t="n"/>
      <c r="G150" s="29" t="n"/>
      <c r="H150" s="28" t="n"/>
      <c r="I150" s="28" t="n"/>
      <c r="J150" s="28" t="n"/>
      <c r="K150" s="28" t="n"/>
      <c r="L150" s="28" t="n"/>
      <c r="M150" s="28" t="n"/>
      <c r="N150" s="45">
        <f>IF(A150="","",IF(COUNT(I150:M150)=0,"",AVERAGE(I150:M150)))</f>
        <v/>
      </c>
      <c r="O150" s="29" t="n"/>
      <c r="P150" s="29" t="n"/>
    </row>
    <row r="151">
      <c r="A151" s="29" t="n"/>
      <c r="B151" s="29" t="n"/>
      <c r="C151" s="29" t="n"/>
      <c r="D151" s="29" t="n"/>
      <c r="E151" s="31" t="n"/>
      <c r="F151" s="29" t="n"/>
      <c r="G151" s="29" t="n"/>
      <c r="H151" s="28" t="n"/>
      <c r="I151" s="28" t="n"/>
      <c r="J151" s="28" t="n"/>
      <c r="K151" s="28" t="n"/>
      <c r="L151" s="28" t="n"/>
      <c r="M151" s="28" t="n"/>
      <c r="N151" s="45">
        <f>IF(A151="","",IF(COUNT(I151:M151)=0,"",AVERAGE(I151:M151)))</f>
        <v/>
      </c>
      <c r="O151" s="29" t="n"/>
      <c r="P151" s="2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autoFilter ref="A3:P151"/>
  <mergeCells count="2">
    <mergeCell ref="A2:N2"/>
    <mergeCell ref="A1:N1"/>
  </mergeCells>
  <conditionalFormatting sqref="N4:N151">
    <cfRule type="cellIs" priority="1" operator="greaterThanOrEqual" dxfId="12">
      <formula>8</formula>
    </cfRule>
    <cfRule type="cellIs" priority="2" operator="between" dxfId="11">
      <formula>6</formula>
      <formula>7.99</formula>
    </cfRule>
    <cfRule type="cellIs" priority="3" operator="lessThan" dxfId="10">
      <formula>6</formula>
    </cfRule>
  </conditionalFormatting>
  <dataValidations count="9">
    <dataValidation sqref="C4:C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=CityList</formula1>
    </dataValidation>
    <dataValidation sqref="D4:D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=ProductsList</formula1>
    </dataValidation>
    <dataValidation sqref="F4:F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=QualityList</formula1>
    </dataValidation>
    <dataValidation sqref="O4:O151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=ApprovalList</formula1>
    </dataValidation>
    <dataValidation sqref="I4:I151" showDropDown="0" showInputMessage="0" showErrorMessage="0" allowBlank="1" error="امتیاز ۱ تا ۱۰" type="whole" operator="between">
      <formula1>1</formula1>
      <formula2>10</formula2>
    </dataValidation>
    <dataValidation sqref="J4:J151" showDropDown="0" showInputMessage="0" showErrorMessage="0" allowBlank="1" error="امتیاز ۱ تا ۱۰" type="whole" operator="between">
      <formula1>1</formula1>
      <formula2>10</formula2>
    </dataValidation>
    <dataValidation sqref="K4:K151" showDropDown="0" showInputMessage="0" showErrorMessage="0" allowBlank="1" error="امتیاز ۱ تا ۱۰" type="whole" operator="between">
      <formula1>1</formula1>
      <formula2>10</formula2>
    </dataValidation>
    <dataValidation sqref="L4:L151" showDropDown="0" showInputMessage="0" showErrorMessage="0" allowBlank="1" error="امتیاز ۱ تا ۱۰" type="whole" operator="between">
      <formula1>1</formula1>
      <formula2>10</formula2>
    </dataValidation>
    <dataValidation sqref="M4:M151" showDropDown="0" showInputMessage="0" showErrorMessage="0" allowBlank="1" error="امتیاز ۱ تا ۱۰" type="whole" operator="between">
      <formula1>1</formula1>
      <formula2>10</formula2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N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8" customWidth="1" min="3" max="3"/>
    <col width="18" customWidth="1" min="4" max="4"/>
    <col width="14" customWidth="1" min="5" max="5"/>
    <col width="18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 ht="28" customHeight="1">
      <c r="A1" s="1" t="inlineStr">
        <is>
          <t>کارکنان</t>
        </is>
      </c>
    </row>
    <row r="2" ht="20" customHeight="1">
      <c r="A2" s="22" t="inlineStr">
        <is>
          <t>تا ۲۰ نفر جا دارد. پورسانت ماه از فروش همان فروشنده در ماه جاری × نرخ پورسانت حساب می‌شود.</t>
        </is>
      </c>
    </row>
    <row r="3" ht="28" customHeight="1">
      <c r="A3" s="3" t="inlineStr">
        <is>
          <t>نام</t>
        </is>
      </c>
      <c r="B3" s="3" t="inlineStr">
        <is>
          <t>سمت</t>
        </is>
      </c>
      <c r="C3" s="3" t="inlineStr">
        <is>
          <t>وظایف</t>
        </is>
      </c>
      <c r="D3" s="3" t="inlineStr">
        <is>
          <t>حقوق ثابت (تومان)</t>
        </is>
      </c>
      <c r="E3" s="3" t="inlineStr">
        <is>
          <t>نرخ پورسانت</t>
        </is>
      </c>
      <c r="F3" s="3" t="inlineStr">
        <is>
          <t>پورسانت این ماه</t>
        </is>
      </c>
      <c r="G3" s="3" t="inlineStr">
        <is>
          <t>جمع دریافتی ماه</t>
        </is>
      </c>
      <c r="H3" s="3" t="inlineStr">
        <is>
          <t>تاریخ شروع</t>
        </is>
      </c>
      <c r="I3" s="3" t="inlineStr">
        <is>
          <t>وضعیت همکاری</t>
        </is>
      </c>
      <c r="J3" s="3" t="inlineStr">
        <is>
          <t>توضیحات</t>
        </is>
      </c>
    </row>
    <row r="4" ht="28" customHeight="1">
      <c r="A4" s="29" t="inlineStr">
        <is>
          <t>مدیر کارگاه</t>
        </is>
      </c>
      <c r="B4" s="29" t="inlineStr">
        <is>
          <t>مدیر/مالک</t>
        </is>
      </c>
      <c r="C4" s="29" t="inlineStr">
        <is>
          <t>خرید، فروش، مالی، تصمیم‌گیری و کنترل سیستم</t>
        </is>
      </c>
      <c r="D4" s="31" t="n">
        <v>18000000</v>
      </c>
      <c r="E4" s="34" t="n">
        <v>0</v>
      </c>
      <c r="F4" s="13">
        <f>IF(A4="","",SUMIFS(Sales!$L$4:$L$151,Sales!$O$4:$O$151,A4,Sales!$P$4:$P$151,تنظیمات!$B$2,Sales!$Q$4:$Q$151,تنظیمات!$D$2)*IF(E4="",0,E4))</f>
        <v/>
      </c>
      <c r="G4" s="13">
        <f>IF(A4="","",IF(D4="",0,D4)+F4)</f>
        <v/>
      </c>
      <c r="H4" s="29" t="inlineStr">
        <is>
          <t>1403/01/01</t>
        </is>
      </c>
      <c r="I4" s="29" t="inlineStr">
        <is>
          <t>فعال</t>
        </is>
      </c>
      <c r="J4" s="29" t="inlineStr">
        <is>
          <t>مالک کارگاه</t>
        </is>
      </c>
    </row>
    <row r="5" ht="28" customHeight="1">
      <c r="A5" s="29" t="inlineStr">
        <is>
          <t>پدر مدیر</t>
        </is>
      </c>
      <c r="B5" s="29" t="inlineStr">
        <is>
          <t>مسئول انبار</t>
        </is>
      </c>
      <c r="C5" s="29" t="inlineStr">
        <is>
          <t>کارهای سبک، کنترل انبار و کمک به تولید</t>
        </is>
      </c>
      <c r="D5" s="31" t="n">
        <v>8000000</v>
      </c>
      <c r="E5" s="34" t="n">
        <v>0</v>
      </c>
      <c r="F5" s="13">
        <f>IF(A5="","",SUMIFS(Sales!$L$4:$L$151,Sales!$O$4:$O$151,A5,Sales!$P$4:$P$151,تنظیمات!$B$2,Sales!$Q$4:$Q$151,تنظیمات!$D$2)*IF(E5="",0,E5))</f>
        <v/>
      </c>
      <c r="G5" s="13">
        <f>IF(A5="","",IF(D5="",0,D5)+F5)</f>
        <v/>
      </c>
      <c r="H5" s="29" t="inlineStr">
        <is>
          <t>1403/01/01</t>
        </is>
      </c>
      <c r="I5" s="29" t="inlineStr">
        <is>
          <t>فعال</t>
        </is>
      </c>
      <c r="J5" s="29" t="inlineStr"/>
    </row>
    <row r="6" ht="28" customHeight="1">
      <c r="A6" s="29" t="inlineStr">
        <is>
          <t>مسئول بسته‌بندی</t>
        </is>
      </c>
      <c r="B6" s="29" t="inlineStr">
        <is>
          <t>نیروی تولید</t>
        </is>
      </c>
      <c r="C6" s="29" t="inlineStr">
        <is>
          <t>پاک‌کنی و بسته‌بندی</t>
        </is>
      </c>
      <c r="D6" s="31" t="n">
        <v>9000000</v>
      </c>
      <c r="E6" s="34" t="n">
        <v>0</v>
      </c>
      <c r="F6" s="13">
        <f>IF(A6="","",SUMIFS(Sales!$L$4:$L$151,Sales!$O$4:$O$151,A6,Sales!$P$4:$P$151,تنظیمات!$B$2,Sales!$Q$4:$Q$151,تنظیمات!$D$2)*IF(E6="",0,E6))</f>
        <v/>
      </c>
      <c r="G6" s="13">
        <f>IF(A6="","",IF(D6="",0,D6)+F6)</f>
        <v/>
      </c>
      <c r="H6" s="29" t="inlineStr">
        <is>
          <t>1404/02/15</t>
        </is>
      </c>
      <c r="I6" s="29" t="inlineStr">
        <is>
          <t>فعال</t>
        </is>
      </c>
      <c r="J6" s="29" t="inlineStr">
        <is>
          <t>نیروی خانم</t>
        </is>
      </c>
    </row>
    <row r="7" ht="28" customHeight="1">
      <c r="A7" s="29" t="inlineStr">
        <is>
          <t>ویزیتور پخش</t>
        </is>
      </c>
      <c r="B7" s="29" t="inlineStr">
        <is>
          <t>ویزیتور</t>
        </is>
      </c>
      <c r="C7" s="29" t="inlineStr">
        <is>
          <t>ویزیت، فروش و پخش با ماشین شرکت</t>
        </is>
      </c>
      <c r="D7" s="31" t="n">
        <v>10000000</v>
      </c>
      <c r="E7" s="34" t="n">
        <v>0.02</v>
      </c>
      <c r="F7" s="13">
        <f>IF(A7="","",SUMIFS(Sales!$L$4:$L$151,Sales!$O$4:$O$151,A7,Sales!$P$4:$P$151,تنظیمات!$B$2,Sales!$Q$4:$Q$151,تنظیمات!$D$2)*IF(E7="",0,E7))</f>
        <v/>
      </c>
      <c r="G7" s="13">
        <f>IF(A7="","",IF(D7="",0,D7)+F7)</f>
        <v/>
      </c>
      <c r="H7" s="29" t="inlineStr">
        <is>
          <t>1404/03/01</t>
        </is>
      </c>
      <c r="I7" s="29" t="inlineStr">
        <is>
          <t>فعال</t>
        </is>
      </c>
      <c r="J7" s="29" t="inlineStr">
        <is>
          <t>نیروی آقا — پورسانت ۲٪ روی فروش وصول‌شده</t>
        </is>
      </c>
    </row>
    <row r="8" ht="28" customHeight="1">
      <c r="A8" s="29" t="n"/>
      <c r="B8" s="29" t="n"/>
      <c r="C8" s="29" t="n"/>
      <c r="D8" s="31" t="n"/>
      <c r="E8" s="34" t="n"/>
      <c r="F8" s="13">
        <f>IF(A8="","",SUMIFS(Sales!$L$4:$L$151,Sales!$O$4:$O$151,A8,Sales!$P$4:$P$151,تنظیمات!$B$2,Sales!$Q$4:$Q$151,تنظیمات!$D$2)*IF(E8="",0,E8))</f>
        <v/>
      </c>
      <c r="G8" s="13">
        <f>IF(A8="","",IF(D8="",0,D8)+F8)</f>
        <v/>
      </c>
      <c r="H8" s="29" t="n"/>
      <c r="I8" s="29" t="n"/>
      <c r="J8" s="29" t="n"/>
    </row>
    <row r="9" ht="28" customHeight="1">
      <c r="A9" s="29" t="n"/>
      <c r="B9" s="29" t="n"/>
      <c r="C9" s="29" t="n"/>
      <c r="D9" s="31" t="n"/>
      <c r="E9" s="34" t="n"/>
      <c r="F9" s="13">
        <f>IF(A9="","",SUMIFS(Sales!$L$4:$L$151,Sales!$O$4:$O$151,A9,Sales!$P$4:$P$151,تنظیمات!$B$2,Sales!$Q$4:$Q$151,تنظیمات!$D$2)*IF(E9="",0,E9))</f>
        <v/>
      </c>
      <c r="G9" s="13">
        <f>IF(A9="","",IF(D9="",0,D9)+F9)</f>
        <v/>
      </c>
      <c r="H9" s="29" t="n"/>
      <c r="I9" s="29" t="n"/>
      <c r="J9" s="29" t="n"/>
    </row>
    <row r="10" ht="28" customHeight="1">
      <c r="A10" s="29" t="n"/>
      <c r="B10" s="29" t="n"/>
      <c r="C10" s="29" t="n"/>
      <c r="D10" s="31" t="n"/>
      <c r="E10" s="34" t="n"/>
      <c r="F10" s="13">
        <f>IF(A10="","",SUMIFS(Sales!$L$4:$L$151,Sales!$O$4:$O$151,A10,Sales!$P$4:$P$151,تنظیمات!$B$2,Sales!$Q$4:$Q$151,تنظیمات!$D$2)*IF(E10="",0,E10))</f>
        <v/>
      </c>
      <c r="G10" s="13">
        <f>IF(A10="","",IF(D10="",0,D10)+F10)</f>
        <v/>
      </c>
      <c r="H10" s="29" t="n"/>
      <c r="I10" s="29" t="n"/>
      <c r="J10" s="29" t="n"/>
    </row>
    <row r="11" ht="28" customHeight="1">
      <c r="A11" s="29" t="n"/>
      <c r="B11" s="29" t="n"/>
      <c r="C11" s="29" t="n"/>
      <c r="D11" s="31" t="n"/>
      <c r="E11" s="34" t="n"/>
      <c r="F11" s="13">
        <f>IF(A11="","",SUMIFS(Sales!$L$4:$L$151,Sales!$O$4:$O$151,A11,Sales!$P$4:$P$151,تنظیمات!$B$2,Sales!$Q$4:$Q$151,تنظیمات!$D$2)*IF(E11="",0,E11))</f>
        <v/>
      </c>
      <c r="G11" s="13">
        <f>IF(A11="","",IF(D11="",0,D11)+F11)</f>
        <v/>
      </c>
      <c r="H11" s="29" t="n"/>
      <c r="I11" s="29" t="n"/>
      <c r="J11" s="29" t="n"/>
    </row>
    <row r="12" ht="28" customHeight="1">
      <c r="A12" s="29" t="n"/>
      <c r="B12" s="29" t="n"/>
      <c r="C12" s="29" t="n"/>
      <c r="D12" s="31" t="n"/>
      <c r="E12" s="34" t="n"/>
      <c r="F12" s="13">
        <f>IF(A12="","",SUMIFS(Sales!$L$4:$L$151,Sales!$O$4:$O$151,A12,Sales!$P$4:$P$151,تنظیمات!$B$2,Sales!$Q$4:$Q$151,تنظیمات!$D$2)*IF(E12="",0,E12))</f>
        <v/>
      </c>
      <c r="G12" s="13">
        <f>IF(A12="","",IF(D12="",0,D12)+F12)</f>
        <v/>
      </c>
      <c r="H12" s="29" t="n"/>
      <c r="I12" s="29" t="n"/>
      <c r="J12" s="29" t="n"/>
    </row>
    <row r="13" ht="28" customHeight="1">
      <c r="A13" s="29" t="n"/>
      <c r="B13" s="29" t="n"/>
      <c r="C13" s="29" t="n"/>
      <c r="D13" s="31" t="n"/>
      <c r="E13" s="34" t="n"/>
      <c r="F13" s="13">
        <f>IF(A13="","",SUMIFS(Sales!$L$4:$L$151,Sales!$O$4:$O$151,A13,Sales!$P$4:$P$151,تنظیمات!$B$2,Sales!$Q$4:$Q$151,تنظیمات!$D$2)*IF(E13="",0,E13))</f>
        <v/>
      </c>
      <c r="G13" s="13">
        <f>IF(A13="","",IF(D13="",0,D13)+F13)</f>
        <v/>
      </c>
      <c r="H13" s="29" t="n"/>
      <c r="I13" s="29" t="n"/>
      <c r="J13" s="29" t="n"/>
    </row>
    <row r="14" ht="28" customHeight="1">
      <c r="A14" s="29" t="n"/>
      <c r="B14" s="29" t="n"/>
      <c r="C14" s="29" t="n"/>
      <c r="D14" s="31" t="n"/>
      <c r="E14" s="34" t="n"/>
      <c r="F14" s="13">
        <f>IF(A14="","",SUMIFS(Sales!$L$4:$L$151,Sales!$O$4:$O$151,A14,Sales!$P$4:$P$151,تنظیمات!$B$2,Sales!$Q$4:$Q$151,تنظیمات!$D$2)*IF(E14="",0,E14))</f>
        <v/>
      </c>
      <c r="G14" s="13">
        <f>IF(A14="","",IF(D14="",0,D14)+F14)</f>
        <v/>
      </c>
      <c r="H14" s="29" t="n"/>
      <c r="I14" s="29" t="n"/>
      <c r="J14" s="29" t="n"/>
    </row>
    <row r="15" ht="28" customHeight="1">
      <c r="A15" s="29" t="n"/>
      <c r="B15" s="29" t="n"/>
      <c r="C15" s="29" t="n"/>
      <c r="D15" s="31" t="n"/>
      <c r="E15" s="34" t="n"/>
      <c r="F15" s="13">
        <f>IF(A15="","",SUMIFS(Sales!$L$4:$L$151,Sales!$O$4:$O$151,A15,Sales!$P$4:$P$151,تنظیمات!$B$2,Sales!$Q$4:$Q$151,تنظیمات!$D$2)*IF(E15="",0,E15))</f>
        <v/>
      </c>
      <c r="G15" s="13">
        <f>IF(A15="","",IF(D15="",0,D15)+F15)</f>
        <v/>
      </c>
      <c r="H15" s="29" t="n"/>
      <c r="I15" s="29" t="n"/>
      <c r="J15" s="29" t="n"/>
    </row>
    <row r="16" ht="28" customHeight="1">
      <c r="A16" s="29" t="n"/>
      <c r="B16" s="29" t="n"/>
      <c r="C16" s="29" t="n"/>
      <c r="D16" s="31" t="n"/>
      <c r="E16" s="34" t="n"/>
      <c r="F16" s="13">
        <f>IF(A16="","",SUMIFS(Sales!$L$4:$L$151,Sales!$O$4:$O$151,A16,Sales!$P$4:$P$151,تنظیمات!$B$2,Sales!$Q$4:$Q$151,تنظیمات!$D$2)*IF(E16="",0,E16))</f>
        <v/>
      </c>
      <c r="G16" s="13">
        <f>IF(A16="","",IF(D16="",0,D16)+F16)</f>
        <v/>
      </c>
      <c r="H16" s="29" t="n"/>
      <c r="I16" s="29" t="n"/>
      <c r="J16" s="29" t="n"/>
    </row>
    <row r="17" ht="28" customHeight="1">
      <c r="A17" s="29" t="n"/>
      <c r="B17" s="29" t="n"/>
      <c r="C17" s="29" t="n"/>
      <c r="D17" s="31" t="n"/>
      <c r="E17" s="34" t="n"/>
      <c r="F17" s="13">
        <f>IF(A17="","",SUMIFS(Sales!$L$4:$L$151,Sales!$O$4:$O$151,A17,Sales!$P$4:$P$151,تنظیمات!$B$2,Sales!$Q$4:$Q$151,تنظیمات!$D$2)*IF(E17="",0,E17))</f>
        <v/>
      </c>
      <c r="G17" s="13">
        <f>IF(A17="","",IF(D17="",0,D17)+F17)</f>
        <v/>
      </c>
      <c r="H17" s="29" t="n"/>
      <c r="I17" s="29" t="n"/>
      <c r="J17" s="29" t="n"/>
    </row>
    <row r="18" ht="28" customHeight="1">
      <c r="A18" s="29" t="n"/>
      <c r="B18" s="29" t="n"/>
      <c r="C18" s="29" t="n"/>
      <c r="D18" s="31" t="n"/>
      <c r="E18" s="34" t="n"/>
      <c r="F18" s="13">
        <f>IF(A18="","",SUMIFS(Sales!$L$4:$L$151,Sales!$O$4:$O$151,A18,Sales!$P$4:$P$151,تنظیمات!$B$2,Sales!$Q$4:$Q$151,تنظیمات!$D$2)*IF(E18="",0,E18))</f>
        <v/>
      </c>
      <c r="G18" s="13">
        <f>IF(A18="","",IF(D18="",0,D18)+F18)</f>
        <v/>
      </c>
      <c r="H18" s="29" t="n"/>
      <c r="I18" s="29" t="n"/>
      <c r="J18" s="29" t="n"/>
    </row>
    <row r="19" ht="28" customHeight="1">
      <c r="A19" s="29" t="n"/>
      <c r="B19" s="29" t="n"/>
      <c r="C19" s="29" t="n"/>
      <c r="D19" s="31" t="n"/>
      <c r="E19" s="34" t="n"/>
      <c r="F19" s="13">
        <f>IF(A19="","",SUMIFS(Sales!$L$4:$L$151,Sales!$O$4:$O$151,A19,Sales!$P$4:$P$151,تنظیمات!$B$2,Sales!$Q$4:$Q$151,تنظیمات!$D$2)*IF(E19="",0,E19))</f>
        <v/>
      </c>
      <c r="G19" s="13">
        <f>IF(A19="","",IF(D19="",0,D19)+F19)</f>
        <v/>
      </c>
      <c r="H19" s="29" t="n"/>
      <c r="I19" s="29" t="n"/>
      <c r="J19" s="29" t="n"/>
    </row>
    <row r="20" ht="28" customHeight="1">
      <c r="A20" s="29" t="n"/>
      <c r="B20" s="29" t="n"/>
      <c r="C20" s="29" t="n"/>
      <c r="D20" s="31" t="n"/>
      <c r="E20" s="34" t="n"/>
      <c r="F20" s="13">
        <f>IF(A20="","",SUMIFS(Sales!$L$4:$L$151,Sales!$O$4:$O$151,A20,Sales!$P$4:$P$151,تنظیمات!$B$2,Sales!$Q$4:$Q$151,تنظیمات!$D$2)*IF(E20="",0,E20))</f>
        <v/>
      </c>
      <c r="G20" s="13">
        <f>IF(A20="","",IF(D20="",0,D20)+F20)</f>
        <v/>
      </c>
      <c r="H20" s="29" t="n"/>
      <c r="I20" s="29" t="n"/>
      <c r="J20" s="29" t="n"/>
    </row>
    <row r="21" ht="28" customHeight="1">
      <c r="A21" s="29" t="n"/>
      <c r="B21" s="29" t="n"/>
      <c r="C21" s="29" t="n"/>
      <c r="D21" s="31" t="n"/>
      <c r="E21" s="34" t="n"/>
      <c r="F21" s="13">
        <f>IF(A21="","",SUMIFS(Sales!$L$4:$L$151,Sales!$O$4:$O$151,A21,Sales!$P$4:$P$151,تنظیمات!$B$2,Sales!$Q$4:$Q$151,تنظیمات!$D$2)*IF(E21="",0,E21))</f>
        <v/>
      </c>
      <c r="G21" s="13">
        <f>IF(A21="","",IF(D21="",0,D21)+F21)</f>
        <v/>
      </c>
      <c r="H21" s="29" t="n"/>
      <c r="I21" s="29" t="n"/>
      <c r="J21" s="29" t="n"/>
    </row>
    <row r="22" ht="28" customHeight="1">
      <c r="A22" s="29" t="n"/>
      <c r="B22" s="29" t="n"/>
      <c r="C22" s="29" t="n"/>
      <c r="D22" s="31" t="n"/>
      <c r="E22" s="34" t="n"/>
      <c r="F22" s="13">
        <f>IF(A22="","",SUMIFS(Sales!$L$4:$L$151,Sales!$O$4:$O$151,A22,Sales!$P$4:$P$151,تنظیمات!$B$2,Sales!$Q$4:$Q$151,تنظیمات!$D$2)*IF(E22="",0,E22))</f>
        <v/>
      </c>
      <c r="G22" s="13">
        <f>IF(A22="","",IF(D22="",0,D22)+F22)</f>
        <v/>
      </c>
      <c r="H22" s="29" t="n"/>
      <c r="I22" s="29" t="n"/>
      <c r="J22" s="29" t="n"/>
    </row>
    <row r="23" ht="28" customHeight="1">
      <c r="A23" s="29" t="n"/>
      <c r="B23" s="29" t="n"/>
      <c r="C23" s="29" t="n"/>
      <c r="D23" s="31" t="n"/>
      <c r="E23" s="34" t="n"/>
      <c r="F23" s="13">
        <f>IF(A23="","",SUMIFS(Sales!$L$4:$L$151,Sales!$O$4:$O$151,A23,Sales!$P$4:$P$151,تنظیمات!$B$2,Sales!$Q$4:$Q$151,تنظیمات!$D$2)*IF(E23="",0,E23))</f>
        <v/>
      </c>
      <c r="G23" s="13">
        <f>IF(A23="","",IF(D23="",0,D23)+F23)</f>
        <v/>
      </c>
      <c r="H23" s="29" t="n"/>
      <c r="I23" s="29" t="n"/>
      <c r="J23" s="29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2">
    <mergeCell ref="A2:N2"/>
    <mergeCell ref="A1:N1"/>
  </mergeCells>
  <dataValidations count="2">
    <dataValidation sqref="B4:B23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=RoleList</formula1>
    </dataValidation>
    <dataValidation sqref="I4:I23" showDropDown="0" showInputMessage="0" showErrorMessage="0" allowBlank="1" errorTitle="مقدار نامعتبر" error="یکی از گزینه‌های فهرست را انتخاب کنید" promptTitle="انتخاب" prompt="از فهرست انتخاب کنید" type="list">
      <formula1>=EmpStatusList</formula1>
    </dataValidation>
  </dataValidations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F4A32"/>
    <outlinePr summaryBelow="1" summaryRight="1"/>
    <pageSetUpPr fitToPage="1"/>
  </sheetPr>
  <dimension ref="A1:J12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گزارش ماهانه محصول — معادل جدول محوری (Pivot). با تغییر ماه در تنظیمات به‌روز می‌شود.</t>
        </is>
      </c>
    </row>
    <row r="2">
      <c r="A2" s="22">
        <f>CONCATENATE("دوره: ",تنظیمات!B2," / ","ماه ",تنظیمات!D2,"  —  ","اگر خواستید Pivot واقعی بسازید: از جدول SalesTbl برگه Sales، Insert &gt; PivotTable")</f>
        <v/>
      </c>
    </row>
    <row r="4" ht="30" customHeight="1">
      <c r="A4" s="3" t="inlineStr">
        <is>
          <t>محصول</t>
        </is>
      </c>
      <c r="B4" s="3" t="inlineStr">
        <is>
          <t>خرید تأییدشده (کیلو)</t>
        </is>
      </c>
      <c r="C4" s="3" t="inlineStr">
        <is>
          <t>میانگین قیمت تمام‌شده</t>
        </is>
      </c>
      <c r="D4" s="3" t="inlineStr">
        <is>
          <t>تولید پاک‌شده (کیلو)</t>
        </is>
      </c>
      <c r="E4" s="3" t="inlineStr">
        <is>
          <t>ضایعات (کیلو)</t>
        </is>
      </c>
      <c r="F4" s="3" t="inlineStr">
        <is>
          <t>درصد ضایعات</t>
        </is>
      </c>
      <c r="G4" s="3" t="inlineStr">
        <is>
          <t>فروش (کیلو)</t>
        </is>
      </c>
      <c r="H4" s="3" t="inlineStr">
        <is>
          <t>فروش (تومان)</t>
        </is>
      </c>
      <c r="I4" s="3" t="inlineStr">
        <is>
          <t>موجودی مواد</t>
        </is>
      </c>
      <c r="J4" s="3" t="inlineStr">
        <is>
          <t>موجودی محصول</t>
        </is>
      </c>
    </row>
    <row r="5" ht="22" customHeight="1">
      <c r="A5" s="10" t="inlineStr">
        <is>
          <t>لوبیا چیتی</t>
        </is>
      </c>
      <c r="B5" s="17">
        <f>SUMIFS(Purchases!$E$4:$E$151,Purchases!$D$4:$D$151,A5,Purchases!$K$4:$K$151,"تأیید شده",Purchases!$M$4:$M$151,تنظیمات!$B$2,Purchases!$N$4:$N$151,تنظیمات!$D$2)</f>
        <v/>
      </c>
      <c r="C5" s="13">
        <f>IFERROR(SUMIFS(Purchases!$G$4:$G$151,Purchases!$D$4:$D$151,A5,Purchases!$K$4:$K$151,"تأیید شده",Purchases!$M$4:$M$151,تنظیمات!$B$2,Purchases!$N$4:$N$151,تنظیمات!$D$2)/B5+SUMIFS(Purchases!$H$4:$H$151,Purchases!$D$4:$D$151,A5,Purchases!$K$4:$K$151,"تأیید شده",Purchases!$M$4:$M$151,تنظیمات!$B$2,Purchases!$N$4:$N$151,تنظیمات!$D$2)/B5,0)</f>
        <v/>
      </c>
      <c r="D5" s="17">
        <f>SUMIFS(Production!$E$4:$E$151,Production!$C$4:$C$151,A5,Production!$M$4:$M$151,تنظیمات!$B$2,Production!$N$4:$N$151,تنظیمات!$D$2)</f>
        <v/>
      </c>
      <c r="E5" s="17">
        <f>SUMIFS(Production!$F$4:$F$151,Production!$C$4:$C$151,A5,Production!$M$4:$M$151,تنظیمات!$B$2,Production!$N$4:$N$151,تنظیمات!$D$2)</f>
        <v/>
      </c>
      <c r="F5" s="19">
        <f>IF(D5=0,"",E5/(D5+E5))</f>
        <v/>
      </c>
      <c r="G5" s="17">
        <f>SUMIFS(Sales!$H$4:$H$151,Sales!$E$4:$E$151,A5,Sales!$P$4:$P$151,تنظیمات!$B$2,Sales!$Q$4:$Q$151,تنظیمات!$D$2)</f>
        <v/>
      </c>
      <c r="H5" s="13">
        <f>SUMIFS(Sales!$L$4:$L$151,Sales!$E$4:$E$151,A5,Sales!$P$4:$P$151,تنظیمات!$B$2,Sales!$Q$4:$Q$151,تنظیمات!$D$2)</f>
        <v/>
      </c>
      <c r="I5" s="17">
        <f>SUMIF(Inventory!$B$5:$B$11,A5,Inventory!$C$5:$C$11)</f>
        <v/>
      </c>
      <c r="J5" s="17">
        <f>SUMIF(Inventory!$B$14:$B$20,A5,Inventory!$C$14:$C$20)</f>
        <v/>
      </c>
    </row>
    <row r="6" ht="22" customHeight="1">
      <c r="A6" s="10" t="inlineStr">
        <is>
          <t>لوبیا قرمز</t>
        </is>
      </c>
      <c r="B6" s="17">
        <f>SUMIFS(Purchases!$E$4:$E$151,Purchases!$D$4:$D$151,A6,Purchases!$K$4:$K$151,"تأیید شده",Purchases!$M$4:$M$151,تنظیمات!$B$2,Purchases!$N$4:$N$151,تنظیمات!$D$2)</f>
        <v/>
      </c>
      <c r="C6" s="13">
        <f>IFERROR(SUMIFS(Purchases!$G$4:$G$151,Purchases!$D$4:$D$151,A6,Purchases!$K$4:$K$151,"تأیید شده",Purchases!$M$4:$M$151,تنظیمات!$B$2,Purchases!$N$4:$N$151,تنظیمات!$D$2)/B6+SUMIFS(Purchases!$H$4:$H$151,Purchases!$D$4:$D$151,A6,Purchases!$K$4:$K$151,"تأیید شده",Purchases!$M$4:$M$151,تنظیمات!$B$2,Purchases!$N$4:$N$151,تنظیمات!$D$2)/B6,0)</f>
        <v/>
      </c>
      <c r="D6" s="17">
        <f>SUMIFS(Production!$E$4:$E$151,Production!$C$4:$C$151,A6,Production!$M$4:$M$151,تنظیمات!$B$2,Production!$N$4:$N$151,تنظیمات!$D$2)</f>
        <v/>
      </c>
      <c r="E6" s="17">
        <f>SUMIFS(Production!$F$4:$F$151,Production!$C$4:$C$151,A6,Production!$M$4:$M$151,تنظیمات!$B$2,Production!$N$4:$N$151,تنظیمات!$D$2)</f>
        <v/>
      </c>
      <c r="F6" s="19">
        <f>IF(D6=0,"",E6/(D6+E6))</f>
        <v/>
      </c>
      <c r="G6" s="17">
        <f>SUMIFS(Sales!$H$4:$H$151,Sales!$E$4:$E$151,A6,Sales!$P$4:$P$151,تنظیمات!$B$2,Sales!$Q$4:$Q$151,تنظیمات!$D$2)</f>
        <v/>
      </c>
      <c r="H6" s="13">
        <f>SUMIFS(Sales!$L$4:$L$151,Sales!$E$4:$E$151,A6,Sales!$P$4:$P$151,تنظیمات!$B$2,Sales!$Q$4:$Q$151,تنظیمات!$D$2)</f>
        <v/>
      </c>
      <c r="I6" s="17">
        <f>SUMIF(Inventory!$B$5:$B$11,A6,Inventory!$C$5:$C$11)</f>
        <v/>
      </c>
      <c r="J6" s="17">
        <f>SUMIF(Inventory!$B$14:$B$20,A6,Inventory!$C$14:$C$20)</f>
        <v/>
      </c>
    </row>
    <row r="7" ht="22" customHeight="1">
      <c r="A7" s="10" t="inlineStr">
        <is>
          <t>لوبیا سفید</t>
        </is>
      </c>
      <c r="B7" s="17">
        <f>SUMIFS(Purchases!$E$4:$E$151,Purchases!$D$4:$D$151,A7,Purchases!$K$4:$K$151,"تأیید شده",Purchases!$M$4:$M$151,تنظیمات!$B$2,Purchases!$N$4:$N$151,تنظیمات!$D$2)</f>
        <v/>
      </c>
      <c r="C7" s="13">
        <f>IFERROR(SUMIFS(Purchases!$G$4:$G$151,Purchases!$D$4:$D$151,A7,Purchases!$K$4:$K$151,"تأیید شده",Purchases!$M$4:$M$151,تنظیمات!$B$2,Purchases!$N$4:$N$151,تنظیمات!$D$2)/B7+SUMIFS(Purchases!$H$4:$H$151,Purchases!$D$4:$D$151,A7,Purchases!$K$4:$K$151,"تأیید شده",Purchases!$M$4:$M$151,تنظیمات!$B$2,Purchases!$N$4:$N$151,تنظیمات!$D$2)/B7,0)</f>
        <v/>
      </c>
      <c r="D7" s="17">
        <f>SUMIFS(Production!$E$4:$E$151,Production!$C$4:$C$151,A7,Production!$M$4:$M$151,تنظیمات!$B$2,Production!$N$4:$N$151,تنظیمات!$D$2)</f>
        <v/>
      </c>
      <c r="E7" s="17">
        <f>SUMIFS(Production!$F$4:$F$151,Production!$C$4:$C$151,A7,Production!$M$4:$M$151,تنظیمات!$B$2,Production!$N$4:$N$151,تنظیمات!$D$2)</f>
        <v/>
      </c>
      <c r="F7" s="19">
        <f>IF(D7=0,"",E7/(D7+E7))</f>
        <v/>
      </c>
      <c r="G7" s="17">
        <f>SUMIFS(Sales!$H$4:$H$151,Sales!$E$4:$E$151,A7,Sales!$P$4:$P$151,تنظیمات!$B$2,Sales!$Q$4:$Q$151,تنظیمات!$D$2)</f>
        <v/>
      </c>
      <c r="H7" s="13">
        <f>SUMIFS(Sales!$L$4:$L$151,Sales!$E$4:$E$151,A7,Sales!$P$4:$P$151,تنظیمات!$B$2,Sales!$Q$4:$Q$151,تنظیمات!$D$2)</f>
        <v/>
      </c>
      <c r="I7" s="17">
        <f>SUMIF(Inventory!$B$5:$B$11,A7,Inventory!$C$5:$C$11)</f>
        <v/>
      </c>
      <c r="J7" s="17">
        <f>SUMIF(Inventory!$B$14:$B$20,A7,Inventory!$C$14:$C$20)</f>
        <v/>
      </c>
    </row>
    <row r="8" ht="22" customHeight="1">
      <c r="A8" s="10" t="inlineStr">
        <is>
          <t>عدس</t>
        </is>
      </c>
      <c r="B8" s="17">
        <f>SUMIFS(Purchases!$E$4:$E$151,Purchases!$D$4:$D$151,A8,Purchases!$K$4:$K$151,"تأیید شده",Purchases!$M$4:$M$151,تنظیمات!$B$2,Purchases!$N$4:$N$151,تنظیمات!$D$2)</f>
        <v/>
      </c>
      <c r="C8" s="13">
        <f>IFERROR(SUMIFS(Purchases!$G$4:$G$151,Purchases!$D$4:$D$151,A8,Purchases!$K$4:$K$151,"تأیید شده",Purchases!$M$4:$M$151,تنظیمات!$B$2,Purchases!$N$4:$N$151,تنظیمات!$D$2)/B8+SUMIFS(Purchases!$H$4:$H$151,Purchases!$D$4:$D$151,A8,Purchases!$K$4:$K$151,"تأیید شده",Purchases!$M$4:$M$151,تنظیمات!$B$2,Purchases!$N$4:$N$151,تنظیمات!$D$2)/B8,0)</f>
        <v/>
      </c>
      <c r="D8" s="17">
        <f>SUMIFS(Production!$E$4:$E$151,Production!$C$4:$C$151,A8,Production!$M$4:$M$151,تنظیمات!$B$2,Production!$N$4:$N$151,تنظیمات!$D$2)</f>
        <v/>
      </c>
      <c r="E8" s="17">
        <f>SUMIFS(Production!$F$4:$F$151,Production!$C$4:$C$151,A8,Production!$M$4:$M$151,تنظیمات!$B$2,Production!$N$4:$N$151,تنظیمات!$D$2)</f>
        <v/>
      </c>
      <c r="F8" s="19">
        <f>IF(D8=0,"",E8/(D8+E8))</f>
        <v/>
      </c>
      <c r="G8" s="17">
        <f>SUMIFS(Sales!$H$4:$H$151,Sales!$E$4:$E$151,A8,Sales!$P$4:$P$151,تنظیمات!$B$2,Sales!$Q$4:$Q$151,تنظیمات!$D$2)</f>
        <v/>
      </c>
      <c r="H8" s="13">
        <f>SUMIFS(Sales!$L$4:$L$151,Sales!$E$4:$E$151,A8,Sales!$P$4:$P$151,تنظیمات!$B$2,Sales!$Q$4:$Q$151,تنظیمات!$D$2)</f>
        <v/>
      </c>
      <c r="I8" s="17">
        <f>SUMIF(Inventory!$B$5:$B$11,A8,Inventory!$C$5:$C$11)</f>
        <v/>
      </c>
      <c r="J8" s="17">
        <f>SUMIF(Inventory!$B$14:$B$20,A8,Inventory!$C$14:$C$20)</f>
        <v/>
      </c>
    </row>
    <row r="9" ht="22" customHeight="1">
      <c r="A9" s="10" t="inlineStr">
        <is>
          <t>نخود</t>
        </is>
      </c>
      <c r="B9" s="17">
        <f>SUMIFS(Purchases!$E$4:$E$151,Purchases!$D$4:$D$151,A9,Purchases!$K$4:$K$151,"تأیید شده",Purchases!$M$4:$M$151,تنظیمات!$B$2,Purchases!$N$4:$N$151,تنظیمات!$D$2)</f>
        <v/>
      </c>
      <c r="C9" s="13">
        <f>IFERROR(SUMIFS(Purchases!$G$4:$G$151,Purchases!$D$4:$D$151,A9,Purchases!$K$4:$K$151,"تأیید شده",Purchases!$M$4:$M$151,تنظیمات!$B$2,Purchases!$N$4:$N$151,تنظیمات!$D$2)/B9+SUMIFS(Purchases!$H$4:$H$151,Purchases!$D$4:$D$151,A9,Purchases!$K$4:$K$151,"تأیید شده",Purchases!$M$4:$M$151,تنظیمات!$B$2,Purchases!$N$4:$N$151,تنظیمات!$D$2)/B9,0)</f>
        <v/>
      </c>
      <c r="D9" s="17">
        <f>SUMIFS(Production!$E$4:$E$151,Production!$C$4:$C$151,A9,Production!$M$4:$M$151,تنظیمات!$B$2,Production!$N$4:$N$151,تنظیمات!$D$2)</f>
        <v/>
      </c>
      <c r="E9" s="17">
        <f>SUMIFS(Production!$F$4:$F$151,Production!$C$4:$C$151,A9,Production!$M$4:$M$151,تنظیمات!$B$2,Production!$N$4:$N$151,تنظیمات!$D$2)</f>
        <v/>
      </c>
      <c r="F9" s="19">
        <f>IF(D9=0,"",E9/(D9+E9))</f>
        <v/>
      </c>
      <c r="G9" s="17">
        <f>SUMIFS(Sales!$H$4:$H$151,Sales!$E$4:$E$151,A9,Sales!$P$4:$P$151,تنظیمات!$B$2,Sales!$Q$4:$Q$151,تنظیمات!$D$2)</f>
        <v/>
      </c>
      <c r="H9" s="13">
        <f>SUMIFS(Sales!$L$4:$L$151,Sales!$E$4:$E$151,A9,Sales!$P$4:$P$151,تنظیمات!$B$2,Sales!$Q$4:$Q$151,تنظیمات!$D$2)</f>
        <v/>
      </c>
      <c r="I9" s="17">
        <f>SUMIF(Inventory!$B$5:$B$11,A9,Inventory!$C$5:$C$11)</f>
        <v/>
      </c>
      <c r="J9" s="17">
        <f>SUMIF(Inventory!$B$14:$B$20,A9,Inventory!$C$14:$C$20)</f>
        <v/>
      </c>
    </row>
    <row r="10" ht="22" customHeight="1">
      <c r="A10" s="10" t="inlineStr">
        <is>
          <t>لپه</t>
        </is>
      </c>
      <c r="B10" s="17">
        <f>SUMIFS(Purchases!$E$4:$E$151,Purchases!$D$4:$D$151,A10,Purchases!$K$4:$K$151,"تأیید شده",Purchases!$M$4:$M$151,تنظیمات!$B$2,Purchases!$N$4:$N$151,تنظیمات!$D$2)</f>
        <v/>
      </c>
      <c r="C10" s="13">
        <f>IFERROR(SUMIFS(Purchases!$G$4:$G$151,Purchases!$D$4:$D$151,A10,Purchases!$K$4:$K$151,"تأیید شده",Purchases!$M$4:$M$151,تنظیمات!$B$2,Purchases!$N$4:$N$151,تنظیمات!$D$2)/B10+SUMIFS(Purchases!$H$4:$H$151,Purchases!$D$4:$D$151,A10,Purchases!$K$4:$K$151,"تأیید شده",Purchases!$M$4:$M$151,تنظیمات!$B$2,Purchases!$N$4:$N$151,تنظیمات!$D$2)/B10,0)</f>
        <v/>
      </c>
      <c r="D10" s="17">
        <f>SUMIFS(Production!$E$4:$E$151,Production!$C$4:$C$151,A10,Production!$M$4:$M$151,تنظیمات!$B$2,Production!$N$4:$N$151,تنظیمات!$D$2)</f>
        <v/>
      </c>
      <c r="E10" s="17">
        <f>SUMIFS(Production!$F$4:$F$151,Production!$C$4:$C$151,A10,Production!$M$4:$M$151,تنظیمات!$B$2,Production!$N$4:$N$151,تنظیمات!$D$2)</f>
        <v/>
      </c>
      <c r="F10" s="19">
        <f>IF(D10=0,"",E10/(D10+E10))</f>
        <v/>
      </c>
      <c r="G10" s="17">
        <f>SUMIFS(Sales!$H$4:$H$151,Sales!$E$4:$E$151,A10,Sales!$P$4:$P$151,تنظیمات!$B$2,Sales!$Q$4:$Q$151,تنظیمات!$D$2)</f>
        <v/>
      </c>
      <c r="H10" s="13">
        <f>SUMIFS(Sales!$L$4:$L$151,Sales!$E$4:$E$151,A10,Sales!$P$4:$P$151,تنظیمات!$B$2,Sales!$Q$4:$Q$151,تنظیمات!$D$2)</f>
        <v/>
      </c>
      <c r="I10" s="17">
        <f>SUMIF(Inventory!$B$5:$B$11,A10,Inventory!$C$5:$C$11)</f>
        <v/>
      </c>
      <c r="J10" s="17">
        <f>SUMIF(Inventory!$B$14:$B$20,A10,Inventory!$C$14:$C$20)</f>
        <v/>
      </c>
    </row>
    <row r="11" ht="22" customHeight="1">
      <c r="A11" s="10" t="inlineStr">
        <is>
          <t>ماش</t>
        </is>
      </c>
      <c r="B11" s="17">
        <f>SUMIFS(Purchases!$E$4:$E$151,Purchases!$D$4:$D$151,A11,Purchases!$K$4:$K$151,"تأیید شده",Purchases!$M$4:$M$151,تنظیمات!$B$2,Purchases!$N$4:$N$151,تنظیمات!$D$2)</f>
        <v/>
      </c>
      <c r="C11" s="13">
        <f>IFERROR(SUMIFS(Purchases!$G$4:$G$151,Purchases!$D$4:$D$151,A11,Purchases!$K$4:$K$151,"تأیید شده",Purchases!$M$4:$M$151,تنظیمات!$B$2,Purchases!$N$4:$N$151,تنظیمات!$D$2)/B11+SUMIFS(Purchases!$H$4:$H$151,Purchases!$D$4:$D$151,A11,Purchases!$K$4:$K$151,"تأیید شده",Purchases!$M$4:$M$151,تنظیمات!$B$2,Purchases!$N$4:$N$151,تنظیمات!$D$2)/B11,0)</f>
        <v/>
      </c>
      <c r="D11" s="17">
        <f>SUMIFS(Production!$E$4:$E$151,Production!$C$4:$C$151,A11,Production!$M$4:$M$151,تنظیمات!$B$2,Production!$N$4:$N$151,تنظیمات!$D$2)</f>
        <v/>
      </c>
      <c r="E11" s="17">
        <f>SUMIFS(Production!$F$4:$F$151,Production!$C$4:$C$151,A11,Production!$M$4:$M$151,تنظیمات!$B$2,Production!$N$4:$N$151,تنظیمات!$D$2)</f>
        <v/>
      </c>
      <c r="F11" s="19">
        <f>IF(D11=0,"",E11/(D11+E11))</f>
        <v/>
      </c>
      <c r="G11" s="17">
        <f>SUMIFS(Sales!$H$4:$H$151,Sales!$E$4:$E$151,A11,Sales!$P$4:$P$151,تنظیمات!$B$2,Sales!$Q$4:$Q$151,تنظیمات!$D$2)</f>
        <v/>
      </c>
      <c r="H11" s="13">
        <f>SUMIFS(Sales!$L$4:$L$151,Sales!$E$4:$E$151,A11,Sales!$P$4:$P$151,تنظیمات!$B$2,Sales!$Q$4:$Q$151,تنظیمات!$D$2)</f>
        <v/>
      </c>
      <c r="I11" s="17">
        <f>SUMIF(Inventory!$B$5:$B$11,A11,Inventory!$C$5:$C$11)</f>
        <v/>
      </c>
      <c r="J11" s="17">
        <f>SUMIF(Inventory!$B$14:$B$20,A11,Inventory!$C$14:$C$20)</f>
        <v/>
      </c>
    </row>
    <row r="12">
      <c r="A12" s="3" t="inlineStr">
        <is>
          <t>جمع</t>
        </is>
      </c>
      <c r="B12" s="42">
        <f>SUM(B5:B11)</f>
        <v/>
      </c>
      <c r="D12" s="42">
        <f>SUM(D5:D11)</f>
        <v/>
      </c>
      <c r="E12" s="42">
        <f>SUM(E5:E11)</f>
        <v/>
      </c>
      <c r="F12" s="46">
        <f>IF(D12=0,"",E12/(D12+E12))</f>
        <v/>
      </c>
      <c r="G12" s="42">
        <f>SUM(G5:G11)</f>
        <v/>
      </c>
      <c r="H12" s="47">
        <f>SUM(H5:H11)</f>
        <v/>
      </c>
      <c r="I12" s="42">
        <f>SUM(I5:I11)</f>
        <v/>
      </c>
      <c r="J12" s="42">
        <f>SUM(J5:J11)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2">
    <mergeCell ref="A1:J1"/>
    <mergeCell ref="A2:J2"/>
  </mergeCells>
  <conditionalFormatting sqref="F5:F11">
    <cfRule type="cellIs" priority="1" operator="greaterThan" dxfId="10">
      <formula>0.06</formula>
    </cfRule>
    <cfRule type="cellIs" priority="2" operator="lessThan" dxfId="12">
      <formula>0.03</formula>
    </cfRule>
  </conditionalFormatting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دریافت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F-01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۱ — دریافت مواد اولیه  |  مسئول: پدر مدیر / مدیر</t>
        </is>
      </c>
      <c r="C4" s="49" t="n"/>
      <c r="D4" s="49" t="n"/>
      <c r="E4" s="49" t="n"/>
      <c r="F4" s="49" t="n"/>
      <c r="G4" s="49" t="n"/>
    </row>
    <row r="6" ht="26" customHeight="1">
      <c r="B6" s="48" t="inlineStr">
        <is>
          <t>نام تأمین‌کننده</t>
        </is>
      </c>
      <c r="C6" s="49" t="n"/>
      <c r="D6" s="53" t="inlineStr"/>
      <c r="E6" s="49" t="n"/>
      <c r="F6" s="49" t="n"/>
      <c r="G6" s="49" t="n"/>
    </row>
    <row r="7" ht="26" customHeight="1">
      <c r="B7" s="48" t="inlineStr">
        <is>
          <t>شماره تماس</t>
        </is>
      </c>
      <c r="C7" s="49" t="n"/>
      <c r="D7" s="53" t="inlineStr"/>
      <c r="E7" s="49" t="n"/>
      <c r="F7" s="49" t="n"/>
      <c r="G7" s="49" t="n"/>
    </row>
    <row r="8" ht="26" customHeight="1">
      <c r="B8" s="48" t="inlineStr">
        <is>
          <t>نوع حبوبات</t>
        </is>
      </c>
      <c r="C8" s="49" t="n"/>
      <c r="D8" s="53" t="inlineStr"/>
      <c r="E8" s="49" t="n"/>
      <c r="F8" s="49" t="n"/>
      <c r="G8" s="49" t="n"/>
    </row>
    <row r="9" ht="26" customHeight="1">
      <c r="B9" s="48" t="inlineStr">
        <is>
          <t>وزن کل (کیلوگرم)</t>
        </is>
      </c>
      <c r="C9" s="49" t="n"/>
      <c r="D9" s="53" t="inlineStr"/>
      <c r="E9" s="49" t="n"/>
      <c r="F9" s="49" t="n"/>
      <c r="G9" s="49" t="n"/>
    </row>
    <row r="10" ht="26" customHeight="1">
      <c r="B10" s="48" t="inlineStr">
        <is>
          <t>کیفیت   □ عالی    □ خوب    □ متوسط    □ ضعیف</t>
        </is>
      </c>
      <c r="C10" s="49" t="n"/>
      <c r="D10" s="53" t="inlineStr"/>
      <c r="E10" s="49" t="n"/>
      <c r="F10" s="49" t="n"/>
      <c r="G10" s="49" t="n"/>
    </row>
    <row r="11" ht="26" customHeight="1">
      <c r="B11" s="48" t="inlineStr">
        <is>
          <t>ضایعات / ناخالصی (کیلو یا شرح)</t>
        </is>
      </c>
      <c r="C11" s="49" t="n"/>
      <c r="D11" s="53" t="inlineStr"/>
      <c r="E11" s="49" t="n"/>
      <c r="F11" s="49" t="n"/>
      <c r="G11" s="49" t="n"/>
    </row>
    <row r="12" ht="26" customHeight="1">
      <c r="B12" s="48" t="inlineStr">
        <is>
          <t>شماره خودرو / شرح بار</t>
        </is>
      </c>
      <c r="C12" s="49" t="n"/>
      <c r="D12" s="53" t="inlineStr"/>
      <c r="E12" s="49" t="n"/>
      <c r="F12" s="49" t="n"/>
      <c r="G12" s="49" t="n"/>
    </row>
    <row r="13" ht="26" customHeight="1">
      <c r="B13" s="48" t="inlineStr">
        <is>
          <t>ساعت ورود</t>
        </is>
      </c>
      <c r="C13" s="49" t="n"/>
      <c r="D13" s="53" t="inlineStr"/>
      <c r="E13" s="49" t="n"/>
      <c r="F13" s="49" t="n"/>
      <c r="G13" s="49" t="n"/>
    </row>
    <row r="14" ht="22" customHeight="1">
      <c r="B14" s="48" t="inlineStr">
        <is>
          <t>توضیحات</t>
        </is>
      </c>
      <c r="C14" s="49" t="n"/>
      <c r="D14" s="53" t="inlineStr"/>
      <c r="E14" s="49" t="n"/>
      <c r="F14" s="49" t="n"/>
      <c r="G14" s="49" t="n"/>
    </row>
    <row r="15" ht="22" customHeight="1">
      <c r="B15" s="49" t="n"/>
      <c r="C15" s="49" t="n"/>
      <c r="D15" s="49" t="n"/>
      <c r="E15" s="49" t="n"/>
      <c r="F15" s="49" t="n"/>
      <c r="G15" s="49" t="n"/>
    </row>
    <row r="16" ht="22" customHeight="1">
      <c r="B16" s="49" t="n"/>
      <c r="C16" s="49" t="n"/>
      <c r="D16" s="49" t="n"/>
      <c r="E16" s="49" t="n"/>
      <c r="F16" s="49" t="n"/>
      <c r="G16" s="49" t="n"/>
    </row>
    <row r="17" ht="22" customHeight="1">
      <c r="B17" s="49" t="n"/>
      <c r="C17" s="49" t="n"/>
      <c r="D17" s="49" t="n"/>
      <c r="E17" s="49" t="n"/>
      <c r="F17" s="49" t="n"/>
      <c r="G17" s="49" t="n"/>
    </row>
    <row r="18" ht="22" customHeight="1">
      <c r="B18" s="51" t="inlineStr">
        <is>
          <t>نظر مسئول انبار:
□ قابل قبول    □ مشروط    □ رد</t>
        </is>
      </c>
      <c r="C18" s="49" t="n"/>
      <c r="D18" s="49" t="n"/>
      <c r="E18" s="51" t="inlineStr">
        <is>
          <t>تأیید مدیر:
نام: ............    امضا: ............</t>
        </is>
      </c>
      <c r="F18" s="49" t="n"/>
      <c r="G18" s="49" t="n"/>
    </row>
    <row r="19" ht="22" customHeight="1">
      <c r="B19" s="49" t="n"/>
      <c r="C19" s="49" t="n"/>
      <c r="D19" s="49" t="n"/>
      <c r="E19" s="49" t="n"/>
      <c r="F19" s="49" t="n"/>
      <c r="G19" s="49" t="n"/>
    </row>
    <row r="21" ht="20" customHeight="1">
      <c r="B21" s="52" t="inlineStr">
        <is>
          <t>پس از تأیید، مدیر همان روز در برگه Purchases ثبت می‌کند. یک داده، یک بار.</t>
        </is>
      </c>
      <c r="C21" s="49" t="n"/>
      <c r="D21" s="49" t="n"/>
      <c r="E21" s="49" t="n"/>
      <c r="F21" s="49" t="n"/>
      <c r="G21" s="49" t="n"/>
    </row>
  </sheetData>
  <mergeCells count="26">
    <mergeCell ref="B2:G2"/>
    <mergeCell ref="D9:G9"/>
    <mergeCell ref="B7:C7"/>
    <mergeCell ref="D12:G12"/>
    <mergeCell ref="D8:G8"/>
    <mergeCell ref="B1:G1"/>
    <mergeCell ref="E18:G19"/>
    <mergeCell ref="B12:C12"/>
    <mergeCell ref="B11:C11"/>
    <mergeCell ref="B18:D19"/>
    <mergeCell ref="D10:G10"/>
    <mergeCell ref="B8:C8"/>
    <mergeCell ref="B13:C13"/>
    <mergeCell ref="D6:G6"/>
    <mergeCell ref="B10:C10"/>
    <mergeCell ref="B4:G4"/>
    <mergeCell ref="E3:G3"/>
    <mergeCell ref="D11:G11"/>
    <mergeCell ref="B9:C9"/>
    <mergeCell ref="D13:G13"/>
    <mergeCell ref="B6:C6"/>
    <mergeCell ref="B3:D3"/>
    <mergeCell ref="D14:G17"/>
    <mergeCell ref="D7:G7"/>
    <mergeCell ref="B21:G21"/>
    <mergeCell ref="B14:C17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تولید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F-02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۲ — گزارش تولید روزانه  |  مسئول: نیروی بسته‌بندی</t>
        </is>
      </c>
      <c r="C4" s="49" t="n"/>
      <c r="D4" s="49" t="n"/>
      <c r="E4" s="49" t="n"/>
      <c r="F4" s="49" t="n"/>
      <c r="G4" s="49" t="n"/>
    </row>
    <row r="6" ht="26" customHeight="1">
      <c r="B6" s="48" t="inlineStr">
        <is>
          <t>محصول (نوع حبوبات)</t>
        </is>
      </c>
      <c r="C6" s="49" t="n"/>
      <c r="D6" s="53" t="inlineStr"/>
      <c r="E6" s="49" t="n"/>
      <c r="F6" s="49" t="n"/>
      <c r="G6" s="49" t="n"/>
    </row>
    <row r="7" ht="26" customHeight="1">
      <c r="B7" s="48" t="inlineStr">
        <is>
          <t>مقدار ورودی به خط (کیلو)</t>
        </is>
      </c>
      <c r="C7" s="49" t="n"/>
      <c r="D7" s="53" t="inlineStr"/>
      <c r="E7" s="49" t="n"/>
      <c r="F7" s="49" t="n"/>
      <c r="G7" s="49" t="n"/>
    </row>
    <row r="8" ht="26" customHeight="1">
      <c r="B8" s="48" t="inlineStr">
        <is>
          <t>مقدار پاک‌شده (کیلو)</t>
        </is>
      </c>
      <c r="C8" s="49" t="n"/>
      <c r="D8" s="53" t="inlineStr"/>
      <c r="E8" s="49" t="n"/>
      <c r="F8" s="49" t="n"/>
      <c r="G8" s="49" t="n"/>
    </row>
    <row r="9" ht="26" customHeight="1">
      <c r="B9" s="48" t="inlineStr">
        <is>
          <t>مقدار ضایعات (کیلو)</t>
        </is>
      </c>
      <c r="C9" s="49" t="n"/>
      <c r="D9" s="53" t="inlineStr"/>
      <c r="E9" s="49" t="n"/>
      <c r="F9" s="49" t="n"/>
      <c r="G9" s="49" t="n"/>
    </row>
    <row r="10" ht="26" customHeight="1">
      <c r="B10" s="48" t="inlineStr">
        <is>
          <t>وزن هر بسته  □ ۴۰۰ گرم   □ ۹۰۰ گرم   □ ۱۰ کیلو</t>
        </is>
      </c>
      <c r="C10" s="49" t="n"/>
      <c r="D10" s="53" t="inlineStr"/>
      <c r="E10" s="49" t="n"/>
      <c r="F10" s="49" t="n"/>
      <c r="G10" s="49" t="n"/>
    </row>
    <row r="11" ht="26" customHeight="1">
      <c r="B11" s="48" t="inlineStr">
        <is>
          <t>تعداد بسته تولیدشده</t>
        </is>
      </c>
      <c r="C11" s="49" t="n"/>
      <c r="D11" s="53" t="inlineStr"/>
      <c r="E11" s="49" t="n"/>
      <c r="F11" s="49" t="n"/>
      <c r="G11" s="49" t="n"/>
    </row>
    <row r="12" ht="26" customHeight="1">
      <c r="B12" s="48" t="inlineStr">
        <is>
          <t>نام اپراتور</t>
        </is>
      </c>
      <c r="C12" s="49" t="n"/>
      <c r="D12" s="53" t="inlineStr"/>
      <c r="E12" s="49" t="n"/>
      <c r="F12" s="49" t="n"/>
      <c r="G12" s="49" t="n"/>
    </row>
    <row r="13" ht="26" customHeight="1">
      <c r="B13" s="48" t="inlineStr">
        <is>
          <t>ساعت شروع / پایان</t>
        </is>
      </c>
      <c r="C13" s="49" t="n"/>
      <c r="D13" s="53" t="inlineStr"/>
      <c r="E13" s="49" t="n"/>
      <c r="F13" s="49" t="n"/>
      <c r="G13" s="49" t="n"/>
    </row>
    <row r="14">
      <c r="B14" s="48" t="inlineStr">
        <is>
          <t>توضیحات / مشکل خط</t>
        </is>
      </c>
      <c r="C14" s="49" t="n"/>
      <c r="D14" s="53" t="inlineStr"/>
      <c r="E14" s="49" t="n"/>
      <c r="F14" s="49" t="n"/>
      <c r="G14" s="49" t="n"/>
    </row>
    <row r="15">
      <c r="B15" s="49" t="n"/>
      <c r="C15" s="49" t="n"/>
      <c r="D15" s="49" t="n"/>
      <c r="E15" s="49" t="n"/>
      <c r="F15" s="49" t="n"/>
      <c r="G15" s="49" t="n"/>
    </row>
    <row r="16">
      <c r="B16" s="49" t="n"/>
      <c r="C16" s="49" t="n"/>
      <c r="D16" s="49" t="n"/>
      <c r="E16" s="49" t="n"/>
      <c r="F16" s="49" t="n"/>
      <c r="G16" s="49" t="n"/>
    </row>
    <row r="17" ht="22" customHeight="1">
      <c r="B17" s="51" t="inlineStr">
        <is>
          <t>امضای اپراتور: ........................</t>
        </is>
      </c>
      <c r="C17" s="49" t="n"/>
      <c r="D17" s="49" t="n"/>
      <c r="E17" s="51" t="inlineStr">
        <is>
          <t>امضای مسئول انبار: ........................</t>
        </is>
      </c>
      <c r="F17" s="49" t="n"/>
      <c r="G17" s="49" t="n"/>
    </row>
    <row r="18" ht="22" customHeight="1">
      <c r="B18" s="49" t="n"/>
      <c r="C18" s="49" t="n"/>
      <c r="D18" s="49" t="n"/>
      <c r="E18" s="49" t="n"/>
      <c r="F18" s="49" t="n"/>
      <c r="G18" s="49" t="n"/>
    </row>
    <row r="20" ht="20" customHeight="1">
      <c r="B20" s="52" t="inlineStr">
        <is>
          <t>درصد ضایعات را حساب نکنید. در Excel خودکار است. این فرم را آخر وقت به مدیر بدهید.</t>
        </is>
      </c>
      <c r="C20" s="49" t="n"/>
      <c r="D20" s="49" t="n"/>
      <c r="E20" s="49" t="n"/>
      <c r="F20" s="49" t="n"/>
      <c r="G20" s="49" t="n"/>
    </row>
  </sheetData>
  <mergeCells count="26">
    <mergeCell ref="B2:G2"/>
    <mergeCell ref="D9:G9"/>
    <mergeCell ref="B7:C7"/>
    <mergeCell ref="D12:G12"/>
    <mergeCell ref="D8:G8"/>
    <mergeCell ref="B1:G1"/>
    <mergeCell ref="B12:C12"/>
    <mergeCell ref="D14:G16"/>
    <mergeCell ref="B11:C11"/>
    <mergeCell ref="E17:G18"/>
    <mergeCell ref="D10:G10"/>
    <mergeCell ref="B8:C8"/>
    <mergeCell ref="B17:D18"/>
    <mergeCell ref="B13:C13"/>
    <mergeCell ref="B20:G20"/>
    <mergeCell ref="B14:C16"/>
    <mergeCell ref="D6:G6"/>
    <mergeCell ref="B10:C10"/>
    <mergeCell ref="B4:G4"/>
    <mergeCell ref="E3:G3"/>
    <mergeCell ref="D11:G11"/>
    <mergeCell ref="B9:C9"/>
    <mergeCell ref="D13:G13"/>
    <mergeCell ref="B6:C6"/>
    <mergeCell ref="B3:D3"/>
    <mergeCell ref="D7:G7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2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تحویل پخش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F-03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۳ — تحویل محصول به پخش  |  از انبار به ویزیتور</t>
        </is>
      </c>
      <c r="C4" s="49" t="n"/>
      <c r="D4" s="49" t="n"/>
      <c r="E4" s="49" t="n"/>
      <c r="F4" s="49" t="n"/>
      <c r="G4" s="49" t="n"/>
    </row>
    <row r="6" ht="24" customHeight="1">
      <c r="B6" s="48" t="inlineStr">
        <is>
          <t>نام ویزیتور</t>
        </is>
      </c>
      <c r="C6" s="49" t="n"/>
      <c r="D6" s="53" t="inlineStr"/>
      <c r="E6" s="49" t="n"/>
      <c r="F6" s="49" t="n"/>
      <c r="G6" s="49" t="n"/>
    </row>
    <row r="7" ht="24" customHeight="1">
      <c r="B7" s="48" t="inlineStr">
        <is>
          <t>مقصد / مسیر</t>
        </is>
      </c>
      <c r="C7" s="49" t="n"/>
      <c r="D7" s="53" t="inlineStr"/>
      <c r="E7" s="49" t="n"/>
      <c r="F7" s="49" t="n"/>
      <c r="G7" s="49" t="n"/>
    </row>
    <row r="9" ht="22" customHeight="1">
      <c r="B9" s="48" t="inlineStr">
        <is>
          <t>ردیف</t>
        </is>
      </c>
      <c r="C9" s="48" t="inlineStr">
        <is>
          <t>محصول</t>
        </is>
      </c>
      <c r="D9" s="48" t="inlineStr">
        <is>
          <t>وزن بسته</t>
        </is>
      </c>
      <c r="E9" s="48" t="inlineStr">
        <is>
          <t>تعداد</t>
        </is>
      </c>
      <c r="F9" s="48" t="inlineStr">
        <is>
          <t>وزن کل</t>
        </is>
      </c>
      <c r="G9" s="48" t="inlineStr">
        <is>
          <t>توضیح</t>
        </is>
      </c>
    </row>
    <row r="10" ht="22" customHeight="1">
      <c r="B10" s="54" t="inlineStr">
        <is>
          <t>1</t>
        </is>
      </c>
      <c r="C10" s="53" t="inlineStr"/>
      <c r="D10" s="53" t="inlineStr"/>
      <c r="E10" s="53" t="inlineStr"/>
      <c r="F10" s="53" t="inlineStr"/>
      <c r="G10" s="53" t="inlineStr"/>
    </row>
    <row r="11" ht="22" customHeight="1">
      <c r="B11" s="54" t="inlineStr">
        <is>
          <t>2</t>
        </is>
      </c>
      <c r="C11" s="53" t="inlineStr"/>
      <c r="D11" s="53" t="inlineStr"/>
      <c r="E11" s="53" t="inlineStr"/>
      <c r="F11" s="53" t="inlineStr"/>
      <c r="G11" s="53" t="inlineStr"/>
    </row>
    <row r="12" ht="22" customHeight="1">
      <c r="B12" s="54" t="inlineStr">
        <is>
          <t>3</t>
        </is>
      </c>
      <c r="C12" s="53" t="inlineStr"/>
      <c r="D12" s="53" t="inlineStr"/>
      <c r="E12" s="53" t="inlineStr"/>
      <c r="F12" s="53" t="inlineStr"/>
      <c r="G12" s="53" t="inlineStr"/>
    </row>
    <row r="13" ht="22" customHeight="1">
      <c r="B13" s="54" t="inlineStr">
        <is>
          <t>4</t>
        </is>
      </c>
      <c r="C13" s="53" t="inlineStr"/>
      <c r="D13" s="53" t="inlineStr"/>
      <c r="E13" s="53" t="inlineStr"/>
      <c r="F13" s="53" t="inlineStr"/>
      <c r="G13" s="53" t="inlineStr"/>
    </row>
    <row r="14" ht="22" customHeight="1">
      <c r="B14" s="54" t="inlineStr">
        <is>
          <t>5</t>
        </is>
      </c>
      <c r="C14" s="53" t="inlineStr"/>
      <c r="D14" s="53" t="inlineStr"/>
      <c r="E14" s="53" t="inlineStr"/>
      <c r="F14" s="53" t="inlineStr"/>
      <c r="G14" s="53" t="inlineStr"/>
    </row>
    <row r="15" ht="22" customHeight="1">
      <c r="B15" s="54" t="inlineStr">
        <is>
          <t>6</t>
        </is>
      </c>
      <c r="C15" s="53" t="inlineStr"/>
      <c r="D15" s="53" t="inlineStr"/>
      <c r="E15" s="53" t="inlineStr"/>
      <c r="F15" s="53" t="inlineStr"/>
      <c r="G15" s="53" t="inlineStr"/>
    </row>
    <row r="16" ht="22" customHeight="1">
      <c r="B16" s="54" t="inlineStr">
        <is>
          <t>7</t>
        </is>
      </c>
      <c r="C16" s="53" t="inlineStr"/>
      <c r="D16" s="53" t="inlineStr"/>
      <c r="E16" s="53" t="inlineStr"/>
      <c r="F16" s="53" t="inlineStr"/>
      <c r="G16" s="53" t="inlineStr"/>
    </row>
    <row r="17" ht="22" customHeight="1">
      <c r="B17" s="54" t="inlineStr">
        <is>
          <t>8</t>
        </is>
      </c>
      <c r="C17" s="53" t="inlineStr"/>
      <c r="D17" s="53" t="inlineStr"/>
      <c r="E17" s="53" t="inlineStr"/>
      <c r="F17" s="53" t="inlineStr"/>
      <c r="G17" s="53" t="inlineStr"/>
    </row>
    <row r="18" ht="22" customHeight="1">
      <c r="B18" s="54" t="inlineStr">
        <is>
          <t>9</t>
        </is>
      </c>
      <c r="C18" s="53" t="inlineStr"/>
      <c r="D18" s="53" t="inlineStr"/>
      <c r="E18" s="53" t="inlineStr"/>
      <c r="F18" s="53" t="inlineStr"/>
      <c r="G18" s="53" t="inlineStr"/>
    </row>
    <row r="19" ht="22" customHeight="1">
      <c r="B19" s="54" t="inlineStr">
        <is>
          <t>10</t>
        </is>
      </c>
      <c r="C19" s="53" t="inlineStr"/>
      <c r="D19" s="53" t="inlineStr"/>
      <c r="E19" s="53" t="inlineStr"/>
      <c r="F19" s="53" t="inlineStr"/>
      <c r="G19" s="53" t="inlineStr"/>
    </row>
    <row r="21" ht="20" customHeight="1">
      <c r="B21" s="51" t="inlineStr">
        <is>
          <t>تحویل‌دهنده (انبار)
نام: ..........  امضا: ..........</t>
        </is>
      </c>
      <c r="C21" s="49" t="n"/>
      <c r="D21" s="49" t="n"/>
      <c r="E21" s="51" t="inlineStr">
        <is>
          <t>تحویل‌گیرنده (ویزیتور)
نام: ..........  امضا: ..........</t>
        </is>
      </c>
      <c r="F21" s="49" t="n"/>
      <c r="G21" s="49" t="n"/>
    </row>
    <row r="22" ht="20" customHeight="1">
      <c r="B22" s="49" t="n"/>
      <c r="C22" s="49" t="n"/>
      <c r="D22" s="49" t="n"/>
      <c r="E22" s="49" t="n"/>
      <c r="F22" s="49" t="n"/>
      <c r="G22" s="49" t="n"/>
    </row>
  </sheetData>
  <mergeCells count="11">
    <mergeCell ref="B2:G2"/>
    <mergeCell ref="B6:C6"/>
    <mergeCell ref="B3:D3"/>
    <mergeCell ref="B21:D22"/>
    <mergeCell ref="B7:C7"/>
    <mergeCell ref="D6:G6"/>
    <mergeCell ref="B1:G1"/>
    <mergeCell ref="D7:G7"/>
    <mergeCell ref="B4:G4"/>
    <mergeCell ref="E3:G3"/>
    <mergeCell ref="E21:G22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ویزیت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F-04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۴ — گزارش روزانه ویزیتور</t>
        </is>
      </c>
      <c r="C4" s="49" t="n"/>
      <c r="D4" s="49" t="n"/>
      <c r="E4" s="49" t="n"/>
      <c r="F4" s="49" t="n"/>
      <c r="G4" s="49" t="n"/>
    </row>
    <row r="6" ht="24" customHeight="1">
      <c r="B6" s="48" t="inlineStr">
        <is>
          <t>منطقه / مسیر</t>
        </is>
      </c>
      <c r="C6" s="49" t="n"/>
      <c r="D6" s="53" t="inlineStr"/>
      <c r="E6" s="49" t="n"/>
      <c r="F6" s="49" t="n"/>
      <c r="G6" s="49" t="n"/>
    </row>
    <row r="7" ht="24" customHeight="1">
      <c r="B7" s="48" t="inlineStr">
        <is>
          <t>تعداد ویزیت برنامه‌ریزی‌شده</t>
        </is>
      </c>
      <c r="C7" s="49" t="n"/>
      <c r="D7" s="53" t="inlineStr"/>
      <c r="E7" s="49" t="n"/>
      <c r="F7" s="49" t="n"/>
      <c r="G7" s="49" t="n"/>
    </row>
    <row r="8" ht="24" customHeight="1">
      <c r="B8" s="48" t="inlineStr">
        <is>
          <t>تعداد ویزیت انجام‌شده</t>
        </is>
      </c>
      <c r="C8" s="49" t="n"/>
      <c r="D8" s="53" t="inlineStr"/>
      <c r="E8" s="49" t="n"/>
      <c r="F8" s="49" t="n"/>
      <c r="G8" s="49" t="n"/>
    </row>
    <row r="9" ht="24" customHeight="1">
      <c r="B9" s="48" t="inlineStr">
        <is>
          <t>تعداد مشتریان جدید</t>
        </is>
      </c>
      <c r="C9" s="49" t="n"/>
      <c r="D9" s="53" t="inlineStr"/>
      <c r="E9" s="49" t="n"/>
      <c r="F9" s="49" t="n"/>
      <c r="G9" s="49" t="n"/>
    </row>
    <row r="10" ht="24" customHeight="1">
      <c r="B10" s="48" t="inlineStr">
        <is>
          <t>تعداد سفارش گرفته‌شده</t>
        </is>
      </c>
      <c r="C10" s="49" t="n"/>
      <c r="D10" s="53" t="inlineStr"/>
      <c r="E10" s="49" t="n"/>
      <c r="F10" s="49" t="n"/>
      <c r="G10" s="49" t="n"/>
    </row>
    <row r="11" ht="24" customHeight="1">
      <c r="B11" s="48" t="inlineStr">
        <is>
          <t>مبلغ فروش / سفارش (تومان)</t>
        </is>
      </c>
      <c r="C11" s="49" t="n"/>
      <c r="D11" s="53" t="inlineStr"/>
      <c r="E11" s="49" t="n"/>
      <c r="F11" s="49" t="n"/>
      <c r="G11" s="49" t="n"/>
    </row>
    <row r="12" ht="24" customHeight="1">
      <c r="B12" s="48" t="inlineStr">
        <is>
          <t>مبلغ وصول‌شده (تومان)</t>
        </is>
      </c>
      <c r="C12" s="49" t="n"/>
      <c r="D12" s="53" t="inlineStr"/>
      <c r="E12" s="49" t="n"/>
      <c r="F12" s="49" t="n"/>
      <c r="G12" s="49" t="n"/>
    </row>
    <row r="13" ht="24" customHeight="1">
      <c r="B13" s="48" t="inlineStr">
        <is>
          <t>کیلومتر شمار (شروع / پایان)</t>
        </is>
      </c>
      <c r="C13" s="49" t="n"/>
      <c r="D13" s="53" t="inlineStr"/>
      <c r="E13" s="49" t="n"/>
      <c r="F13" s="49" t="n"/>
      <c r="G13" s="49" t="n"/>
    </row>
    <row r="14" ht="24" customHeight="1">
      <c r="B14" s="48" t="inlineStr">
        <is>
          <t>هزینه سوخت (تومان)</t>
        </is>
      </c>
      <c r="C14" s="49" t="n"/>
      <c r="D14" s="53" t="inlineStr"/>
      <c r="E14" s="49" t="n"/>
      <c r="F14" s="49" t="n"/>
      <c r="G14" s="49" t="n"/>
    </row>
    <row r="15">
      <c r="B15" s="48" t="inlineStr">
        <is>
          <t>مشکلات مسیر / مشتری</t>
        </is>
      </c>
      <c r="C15" s="49" t="n"/>
      <c r="D15" s="53" t="inlineStr"/>
      <c r="E15" s="49" t="n"/>
      <c r="F15" s="49" t="n"/>
      <c r="G15" s="49" t="n"/>
    </row>
    <row r="16">
      <c r="B16" s="49" t="n"/>
      <c r="C16" s="49" t="n"/>
      <c r="D16" s="49" t="n"/>
      <c r="E16" s="49" t="n"/>
      <c r="F16" s="49" t="n"/>
      <c r="G16" s="49" t="n"/>
    </row>
    <row r="17">
      <c r="B17" s="49" t="n"/>
      <c r="C17" s="49" t="n"/>
      <c r="D17" s="49" t="n"/>
      <c r="E17" s="49" t="n"/>
      <c r="F17" s="49" t="n"/>
      <c r="G17" s="49" t="n"/>
    </row>
    <row r="18">
      <c r="B18" s="49" t="n"/>
      <c r="C18" s="49" t="n"/>
      <c r="D18" s="49" t="n"/>
      <c r="E18" s="49" t="n"/>
      <c r="F18" s="49" t="n"/>
      <c r="G18" s="49" t="n"/>
    </row>
    <row r="19" ht="22" customHeight="1">
      <c r="B19" s="51" t="inlineStr">
        <is>
          <t>امضای ویزیتور: ........................        تأیید مدیر: ........................</t>
        </is>
      </c>
      <c r="C19" s="49" t="n"/>
      <c r="D19" s="49" t="n"/>
      <c r="E19" s="49" t="n"/>
      <c r="F19" s="49" t="n"/>
      <c r="G19" s="49" t="n"/>
    </row>
    <row r="20" ht="22" customHeight="1">
      <c r="B20" s="49" t="n"/>
      <c r="C20" s="49" t="n"/>
      <c r="D20" s="49" t="n"/>
      <c r="E20" s="49" t="n"/>
      <c r="F20" s="49" t="n"/>
      <c r="G20" s="49" t="n"/>
    </row>
  </sheetData>
  <mergeCells count="26">
    <mergeCell ref="B2:G2"/>
    <mergeCell ref="D9:G9"/>
    <mergeCell ref="B7:C7"/>
    <mergeCell ref="D12:G12"/>
    <mergeCell ref="D8:G8"/>
    <mergeCell ref="B1:G1"/>
    <mergeCell ref="D14:G14"/>
    <mergeCell ref="B12:C12"/>
    <mergeCell ref="B11:C11"/>
    <mergeCell ref="B15:C18"/>
    <mergeCell ref="B14:C14"/>
    <mergeCell ref="D10:G10"/>
    <mergeCell ref="B8:C8"/>
    <mergeCell ref="B13:C13"/>
    <mergeCell ref="D6:G6"/>
    <mergeCell ref="B10:C10"/>
    <mergeCell ref="B4:G4"/>
    <mergeCell ref="E3:G3"/>
    <mergeCell ref="D11:G11"/>
    <mergeCell ref="B9:C9"/>
    <mergeCell ref="D13:G13"/>
    <mergeCell ref="D15:G18"/>
    <mergeCell ref="B6:C6"/>
    <mergeCell ref="B3:D3"/>
    <mergeCell ref="B19:G20"/>
    <mergeCell ref="D7:G7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2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خروج کالا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F-05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۵ — خروج کالا برای مشتری</t>
        </is>
      </c>
      <c r="C4" s="49" t="n"/>
      <c r="D4" s="49" t="n"/>
      <c r="E4" s="49" t="n"/>
      <c r="F4" s="49" t="n"/>
      <c r="G4" s="49" t="n"/>
    </row>
    <row r="6" ht="24" customHeight="1">
      <c r="B6" s="48" t="inlineStr">
        <is>
          <t>نام مشتری</t>
        </is>
      </c>
      <c r="C6" s="49" t="n"/>
      <c r="D6" s="53" t="inlineStr"/>
      <c r="E6" s="49" t="n"/>
      <c r="F6" s="49" t="n"/>
      <c r="G6" s="49" t="n"/>
    </row>
    <row r="7" ht="24" customHeight="1">
      <c r="B7" s="48" t="inlineStr">
        <is>
          <t>شهر / آدرس</t>
        </is>
      </c>
      <c r="C7" s="49" t="n"/>
      <c r="D7" s="53" t="inlineStr"/>
      <c r="E7" s="49" t="n"/>
      <c r="F7" s="49" t="n"/>
      <c r="G7" s="49" t="n"/>
    </row>
    <row r="9" ht="22" customHeight="1">
      <c r="B9" s="48" t="inlineStr">
        <is>
          <t>ردیف</t>
        </is>
      </c>
      <c r="C9" s="48" t="inlineStr">
        <is>
          <t>محصول</t>
        </is>
      </c>
      <c r="D9" s="48" t="inlineStr">
        <is>
          <t>تعداد</t>
        </is>
      </c>
      <c r="E9" s="48" t="inlineStr">
        <is>
          <t>مقدار (کیلو)</t>
        </is>
      </c>
      <c r="F9" s="48" t="inlineStr">
        <is>
          <t>مبلغ (تومان)</t>
        </is>
      </c>
      <c r="G9" s="48" t="inlineStr">
        <is>
          <t>توضیح</t>
        </is>
      </c>
    </row>
    <row r="10" ht="22" customHeight="1">
      <c r="B10" s="54" t="inlineStr">
        <is>
          <t>1</t>
        </is>
      </c>
      <c r="C10" s="53" t="inlineStr"/>
      <c r="D10" s="53" t="inlineStr"/>
      <c r="E10" s="53" t="inlineStr"/>
      <c r="F10" s="53" t="inlineStr"/>
      <c r="G10" s="53" t="inlineStr"/>
    </row>
    <row r="11" ht="22" customHeight="1">
      <c r="B11" s="54" t="inlineStr">
        <is>
          <t>2</t>
        </is>
      </c>
      <c r="C11" s="53" t="inlineStr"/>
      <c r="D11" s="53" t="inlineStr"/>
      <c r="E11" s="53" t="inlineStr"/>
      <c r="F11" s="53" t="inlineStr"/>
      <c r="G11" s="53" t="inlineStr"/>
    </row>
    <row r="12" ht="22" customHeight="1">
      <c r="B12" s="54" t="inlineStr">
        <is>
          <t>3</t>
        </is>
      </c>
      <c r="C12" s="53" t="inlineStr"/>
      <c r="D12" s="53" t="inlineStr"/>
      <c r="E12" s="53" t="inlineStr"/>
      <c r="F12" s="53" t="inlineStr"/>
      <c r="G12" s="53" t="inlineStr"/>
    </row>
    <row r="13" ht="22" customHeight="1">
      <c r="B13" s="54" t="inlineStr">
        <is>
          <t>4</t>
        </is>
      </c>
      <c r="C13" s="53" t="inlineStr"/>
      <c r="D13" s="53" t="inlineStr"/>
      <c r="E13" s="53" t="inlineStr"/>
      <c r="F13" s="53" t="inlineStr"/>
      <c r="G13" s="53" t="inlineStr"/>
    </row>
    <row r="14" ht="22" customHeight="1">
      <c r="B14" s="54" t="inlineStr">
        <is>
          <t>5</t>
        </is>
      </c>
      <c r="C14" s="53" t="inlineStr"/>
      <c r="D14" s="53" t="inlineStr"/>
      <c r="E14" s="53" t="inlineStr"/>
      <c r="F14" s="53" t="inlineStr"/>
      <c r="G14" s="53" t="inlineStr"/>
    </row>
    <row r="15" ht="22" customHeight="1">
      <c r="B15" s="54" t="inlineStr">
        <is>
          <t>6</t>
        </is>
      </c>
      <c r="C15" s="53" t="inlineStr"/>
      <c r="D15" s="53" t="inlineStr"/>
      <c r="E15" s="53" t="inlineStr"/>
      <c r="F15" s="53" t="inlineStr"/>
      <c r="G15" s="53" t="inlineStr"/>
    </row>
    <row r="16" ht="22" customHeight="1">
      <c r="B16" s="54" t="inlineStr">
        <is>
          <t>7</t>
        </is>
      </c>
      <c r="C16" s="53" t="inlineStr"/>
      <c r="D16" s="53" t="inlineStr"/>
      <c r="E16" s="53" t="inlineStr"/>
      <c r="F16" s="53" t="inlineStr"/>
      <c r="G16" s="53" t="inlineStr"/>
    </row>
    <row r="17" ht="22" customHeight="1">
      <c r="B17" s="54" t="inlineStr">
        <is>
          <t>8</t>
        </is>
      </c>
      <c r="C17" s="53" t="inlineStr"/>
      <c r="D17" s="53" t="inlineStr"/>
      <c r="E17" s="53" t="inlineStr"/>
      <c r="F17" s="53" t="inlineStr"/>
      <c r="G17" s="53" t="inlineStr"/>
    </row>
    <row r="19" ht="24" customHeight="1">
      <c r="B19" s="55" t="inlineStr">
        <is>
          <t>جمع مبلغ: ........................ تومان</t>
        </is>
      </c>
      <c r="C19" s="49" t="n"/>
      <c r="D19" s="49" t="n"/>
      <c r="E19" s="51" t="inlineStr">
        <is>
          <t>وصول در محل: □ کامل   □ بخشی   □ نسیه</t>
        </is>
      </c>
      <c r="F19" s="49" t="n"/>
      <c r="G19" s="49" t="n"/>
    </row>
    <row r="21" ht="20" customHeight="1">
      <c r="B21" s="51" t="inlineStr">
        <is>
          <t>تحویل‌دهنده
نام: ..........  امضا: ..........</t>
        </is>
      </c>
      <c r="C21" s="49" t="n"/>
      <c r="D21" s="49" t="n"/>
      <c r="E21" s="51" t="inlineStr">
        <is>
          <t>تحویل‌گیرنده (مشتری)
نام: ..........  امضا: ..........</t>
        </is>
      </c>
      <c r="F21" s="49" t="n"/>
      <c r="G21" s="49" t="n"/>
    </row>
    <row r="22" ht="20" customHeight="1">
      <c r="B22" s="49" t="n"/>
      <c r="C22" s="49" t="n"/>
      <c r="D22" s="49" t="n"/>
      <c r="E22" s="49" t="n"/>
      <c r="F22" s="49" t="n"/>
      <c r="G22" s="49" t="n"/>
    </row>
  </sheetData>
  <mergeCells count="13">
    <mergeCell ref="B2:G2"/>
    <mergeCell ref="B6:C6"/>
    <mergeCell ref="B3:D3"/>
    <mergeCell ref="B19:D19"/>
    <mergeCell ref="E19:G19"/>
    <mergeCell ref="B7:C7"/>
    <mergeCell ref="B21:D22"/>
    <mergeCell ref="D6:G6"/>
    <mergeCell ref="B1:G1"/>
    <mergeCell ref="D7:G7"/>
    <mergeCell ref="B4:G4"/>
    <mergeCell ref="E3:G3"/>
    <mergeCell ref="E21:G22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5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شمارش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F-06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۶ — شمارش موجودی  |  مسئول: پدر مدیر</t>
        </is>
      </c>
      <c r="C4" s="49" t="n"/>
      <c r="D4" s="49" t="n"/>
      <c r="E4" s="49" t="n"/>
      <c r="F4" s="49" t="n"/>
      <c r="G4" s="49" t="n"/>
    </row>
    <row r="6" ht="20" customHeight="1">
      <c r="B6" s="52" t="inlineStr">
        <is>
          <t>شمارش باید با خلاصه برگه Inventory مقایسه شود. اختلاف را همان روز در دفتر تعدیل بزنید.</t>
        </is>
      </c>
      <c r="C6" s="49" t="n"/>
      <c r="D6" s="49" t="n"/>
      <c r="E6" s="49" t="n"/>
      <c r="F6" s="49" t="n"/>
      <c r="G6" s="49" t="n"/>
    </row>
    <row r="8" ht="22" customHeight="1">
      <c r="B8" s="48" t="inlineStr">
        <is>
          <t>محصول</t>
        </is>
      </c>
      <c r="C8" s="48" t="inlineStr">
        <is>
          <t>مواد/نهایی</t>
        </is>
      </c>
      <c r="D8" s="48" t="inlineStr">
        <is>
          <t>ثبت سیستم</t>
        </is>
      </c>
      <c r="E8" s="48" t="inlineStr">
        <is>
          <t>موجودی واقعی</t>
        </is>
      </c>
      <c r="F8" s="48" t="inlineStr">
        <is>
          <t>اختلاف</t>
        </is>
      </c>
      <c r="G8" s="48" t="inlineStr">
        <is>
          <t>علت اختلاف</t>
        </is>
      </c>
    </row>
    <row r="9" ht="20" customHeight="1">
      <c r="B9" s="54" t="inlineStr">
        <is>
          <t>لوبیا چیتی</t>
        </is>
      </c>
      <c r="C9" s="51" t="inlineStr">
        <is>
          <t>مواد اولیه</t>
        </is>
      </c>
      <c r="D9" s="53" t="inlineStr"/>
      <c r="E9" s="53" t="inlineStr"/>
      <c r="F9" s="53" t="inlineStr"/>
      <c r="G9" s="53" t="inlineStr"/>
    </row>
    <row r="10" ht="20" customHeight="1">
      <c r="B10" s="54" t="inlineStr">
        <is>
          <t>لوبیا قرمز</t>
        </is>
      </c>
      <c r="C10" s="51" t="inlineStr">
        <is>
          <t>مواد اولیه</t>
        </is>
      </c>
      <c r="D10" s="53" t="inlineStr"/>
      <c r="E10" s="53" t="inlineStr"/>
      <c r="F10" s="53" t="inlineStr"/>
      <c r="G10" s="53" t="inlineStr"/>
    </row>
    <row r="11" ht="20" customHeight="1">
      <c r="B11" s="54" t="inlineStr">
        <is>
          <t>لوبیا سفید</t>
        </is>
      </c>
      <c r="C11" s="51" t="inlineStr">
        <is>
          <t>مواد اولیه</t>
        </is>
      </c>
      <c r="D11" s="53" t="inlineStr"/>
      <c r="E11" s="53" t="inlineStr"/>
      <c r="F11" s="53" t="inlineStr"/>
      <c r="G11" s="53" t="inlineStr"/>
    </row>
    <row r="12" ht="20" customHeight="1">
      <c r="B12" s="54" t="inlineStr">
        <is>
          <t>عدس</t>
        </is>
      </c>
      <c r="C12" s="51" t="inlineStr">
        <is>
          <t>مواد اولیه</t>
        </is>
      </c>
      <c r="D12" s="53" t="inlineStr"/>
      <c r="E12" s="53" t="inlineStr"/>
      <c r="F12" s="53" t="inlineStr"/>
      <c r="G12" s="53" t="inlineStr"/>
    </row>
    <row r="13" ht="20" customHeight="1">
      <c r="B13" s="54" t="inlineStr">
        <is>
          <t>نخود</t>
        </is>
      </c>
      <c r="C13" s="51" t="inlineStr">
        <is>
          <t>مواد اولیه</t>
        </is>
      </c>
      <c r="D13" s="53" t="inlineStr"/>
      <c r="E13" s="53" t="inlineStr"/>
      <c r="F13" s="53" t="inlineStr"/>
      <c r="G13" s="53" t="inlineStr"/>
    </row>
    <row r="14" ht="20" customHeight="1">
      <c r="B14" s="54" t="inlineStr">
        <is>
          <t>لپه</t>
        </is>
      </c>
      <c r="C14" s="51" t="inlineStr">
        <is>
          <t>مواد اولیه</t>
        </is>
      </c>
      <c r="D14" s="53" t="inlineStr"/>
      <c r="E14" s="53" t="inlineStr"/>
      <c r="F14" s="53" t="inlineStr"/>
      <c r="G14" s="53" t="inlineStr"/>
    </row>
    <row r="15" ht="20" customHeight="1">
      <c r="B15" s="54" t="inlineStr">
        <is>
          <t>ماش</t>
        </is>
      </c>
      <c r="C15" s="51" t="inlineStr">
        <is>
          <t>مواد اولیه</t>
        </is>
      </c>
      <c r="D15" s="53" t="inlineStr"/>
      <c r="E15" s="53" t="inlineStr"/>
      <c r="F15" s="53" t="inlineStr"/>
      <c r="G15" s="53" t="inlineStr"/>
    </row>
    <row r="16" ht="20" customHeight="1">
      <c r="B16" s="54" t="inlineStr">
        <is>
          <t>لوبیا چیتی</t>
        </is>
      </c>
      <c r="C16" s="51" t="inlineStr">
        <is>
          <t>محصول نهایی</t>
        </is>
      </c>
      <c r="D16" s="53" t="inlineStr"/>
      <c r="E16" s="53" t="inlineStr"/>
      <c r="F16" s="53" t="inlineStr"/>
      <c r="G16" s="53" t="inlineStr"/>
    </row>
    <row r="17" ht="20" customHeight="1">
      <c r="B17" s="54" t="inlineStr">
        <is>
          <t>لوبیا قرمز</t>
        </is>
      </c>
      <c r="C17" s="51" t="inlineStr">
        <is>
          <t>محصول نهایی</t>
        </is>
      </c>
      <c r="D17" s="53" t="inlineStr"/>
      <c r="E17" s="53" t="inlineStr"/>
      <c r="F17" s="53" t="inlineStr"/>
      <c r="G17" s="53" t="inlineStr"/>
    </row>
    <row r="18" ht="20" customHeight="1">
      <c r="B18" s="54" t="inlineStr">
        <is>
          <t>لوبیا سفید</t>
        </is>
      </c>
      <c r="C18" s="51" t="inlineStr">
        <is>
          <t>محصول نهایی</t>
        </is>
      </c>
      <c r="D18" s="53" t="inlineStr"/>
      <c r="E18" s="53" t="inlineStr"/>
      <c r="F18" s="53" t="inlineStr"/>
      <c r="G18" s="53" t="inlineStr"/>
    </row>
    <row r="19" ht="20" customHeight="1">
      <c r="B19" s="54" t="inlineStr">
        <is>
          <t>عدس</t>
        </is>
      </c>
      <c r="C19" s="51" t="inlineStr">
        <is>
          <t>محصول نهایی</t>
        </is>
      </c>
      <c r="D19" s="53" t="inlineStr"/>
      <c r="E19" s="53" t="inlineStr"/>
      <c r="F19" s="53" t="inlineStr"/>
      <c r="G19" s="53" t="inlineStr"/>
    </row>
    <row r="20" ht="20" customHeight="1">
      <c r="B20" s="54" t="inlineStr">
        <is>
          <t>نخود</t>
        </is>
      </c>
      <c r="C20" s="51" t="inlineStr">
        <is>
          <t>محصول نهایی</t>
        </is>
      </c>
      <c r="D20" s="53" t="inlineStr"/>
      <c r="E20" s="53" t="inlineStr"/>
      <c r="F20" s="53" t="inlineStr"/>
      <c r="G20" s="53" t="inlineStr"/>
    </row>
    <row r="21" ht="20" customHeight="1">
      <c r="B21" s="54" t="inlineStr">
        <is>
          <t>لپه</t>
        </is>
      </c>
      <c r="C21" s="51" t="inlineStr">
        <is>
          <t>محصول نهایی</t>
        </is>
      </c>
      <c r="D21" s="53" t="inlineStr"/>
      <c r="E21" s="53" t="inlineStr"/>
      <c r="F21" s="53" t="inlineStr"/>
      <c r="G21" s="53" t="inlineStr"/>
    </row>
    <row r="22" ht="20" customHeight="1">
      <c r="B22" s="54" t="inlineStr">
        <is>
          <t>ماش</t>
        </is>
      </c>
      <c r="C22" s="51" t="inlineStr">
        <is>
          <t>محصول نهایی</t>
        </is>
      </c>
      <c r="D22" s="53" t="inlineStr"/>
      <c r="E22" s="53" t="inlineStr"/>
      <c r="F22" s="53" t="inlineStr"/>
      <c r="G22" s="53" t="inlineStr"/>
    </row>
    <row r="24" ht="20" customHeight="1">
      <c r="B24" s="51" t="inlineStr">
        <is>
          <t>تأیید مسئول انبار: ..................     تأیید مدیر: ..................     تاریخ: ____ / ____ / ________</t>
        </is>
      </c>
      <c r="C24" s="49" t="n"/>
      <c r="D24" s="49" t="n"/>
      <c r="E24" s="49" t="n"/>
      <c r="F24" s="49" t="n"/>
      <c r="G24" s="49" t="n"/>
    </row>
    <row r="25" ht="20" customHeight="1">
      <c r="B25" s="49" t="n"/>
      <c r="C25" s="49" t="n"/>
      <c r="D25" s="49" t="n"/>
      <c r="E25" s="49" t="n"/>
      <c r="F25" s="49" t="n"/>
      <c r="G25" s="49" t="n"/>
    </row>
  </sheetData>
  <mergeCells count="7">
    <mergeCell ref="B2:G2"/>
    <mergeCell ref="B3:D3"/>
    <mergeCell ref="B24:G25"/>
    <mergeCell ref="B1:G1"/>
    <mergeCell ref="B4:G4"/>
    <mergeCell ref="E3:G3"/>
    <mergeCell ref="B6:G6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هزینه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F-07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۷ — ثبت هزینه</t>
        </is>
      </c>
      <c r="C4" s="49" t="n"/>
      <c r="D4" s="49" t="n"/>
      <c r="E4" s="49" t="n"/>
      <c r="F4" s="49" t="n"/>
      <c r="G4" s="49" t="n"/>
    </row>
    <row r="6" ht="36" customHeight="1">
      <c r="B6" s="48" t="inlineStr">
        <is>
          <t>نوع هزینه  □ حقوق  □ اجاره  □ برق  □ گاز  □ سوخت  □ بسته‌بندی  □ تعمیرات  □ حمل  □ آب  □ متفرقه</t>
        </is>
      </c>
      <c r="C6" s="49" t="n"/>
      <c r="D6" s="53" t="inlineStr"/>
      <c r="E6" s="49" t="n"/>
      <c r="F6" s="49" t="n"/>
      <c r="G6" s="49" t="n"/>
    </row>
    <row r="7" ht="26" customHeight="1">
      <c r="B7" s="48" t="inlineStr">
        <is>
          <t>مبلغ (تومان) — به عدد</t>
        </is>
      </c>
      <c r="C7" s="49" t="n"/>
      <c r="D7" s="53" t="inlineStr"/>
      <c r="E7" s="49" t="n"/>
      <c r="F7" s="49" t="n"/>
      <c r="G7" s="49" t="n"/>
    </row>
    <row r="8" ht="26" customHeight="1">
      <c r="B8" s="48" t="inlineStr">
        <is>
          <t>مبلغ به حروف</t>
        </is>
      </c>
      <c r="C8" s="49" t="n"/>
      <c r="D8" s="53" t="inlineStr"/>
      <c r="E8" s="49" t="n"/>
      <c r="F8" s="49" t="n"/>
      <c r="G8" s="49" t="n"/>
    </row>
    <row r="9" ht="26" customHeight="1">
      <c r="B9" s="48" t="inlineStr">
        <is>
          <t>پرداخت‌کننده</t>
        </is>
      </c>
      <c r="C9" s="49" t="n"/>
      <c r="D9" s="53" t="inlineStr"/>
      <c r="E9" s="49" t="n"/>
      <c r="F9" s="49" t="n"/>
      <c r="G9" s="49" t="n"/>
    </row>
    <row r="10" ht="26" customHeight="1">
      <c r="B10" s="48" t="inlineStr">
        <is>
          <t>روش پرداخت   □ نقد   □ کارت   □ چک   □ نسیه</t>
        </is>
      </c>
      <c r="C10" s="49" t="n"/>
      <c r="D10" s="53" t="inlineStr"/>
      <c r="E10" s="49" t="n"/>
      <c r="F10" s="49" t="n"/>
      <c r="G10" s="49" t="n"/>
    </row>
    <row r="11" ht="48" customHeight="1">
      <c r="B11" s="48" t="inlineStr">
        <is>
          <t>شرح / بابت</t>
        </is>
      </c>
      <c r="C11" s="49" t="n"/>
      <c r="D11" s="53" t="inlineStr"/>
      <c r="E11" s="49" t="n"/>
      <c r="F11" s="49" t="n"/>
      <c r="G11" s="49" t="n"/>
    </row>
    <row r="13" ht="22" customHeight="1">
      <c r="B13" s="51" t="inlineStr">
        <is>
          <t>امضای پرداخت‌کننده: ..................          تأیید مدیر: ..................</t>
        </is>
      </c>
      <c r="C13" s="49" t="n"/>
      <c r="D13" s="49" t="n"/>
      <c r="E13" s="49" t="n"/>
      <c r="F13" s="49" t="n"/>
      <c r="G13" s="49" t="n"/>
    </row>
    <row r="14" ht="22" customHeight="1">
      <c r="B14" s="49" t="n"/>
      <c r="C14" s="49" t="n"/>
      <c r="D14" s="49" t="n"/>
      <c r="E14" s="49" t="n"/>
      <c r="F14" s="49" t="n"/>
      <c r="G14" s="49" t="n"/>
    </row>
  </sheetData>
  <mergeCells count="18">
    <mergeCell ref="B2:G2"/>
    <mergeCell ref="B6:C6"/>
    <mergeCell ref="B3:D3"/>
    <mergeCell ref="D10:G10"/>
    <mergeCell ref="D9:G9"/>
    <mergeCell ref="B7:C7"/>
    <mergeCell ref="B11:C11"/>
    <mergeCell ref="D8:G8"/>
    <mergeCell ref="D6:G6"/>
    <mergeCell ref="B10:C10"/>
    <mergeCell ref="B1:G1"/>
    <mergeCell ref="D7:G7"/>
    <mergeCell ref="B4:G4"/>
    <mergeCell ref="E3:G3"/>
    <mergeCell ref="D11:G11"/>
    <mergeCell ref="B9:C9"/>
    <mergeCell ref="B13:G14"/>
    <mergeCell ref="B8:C8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B1:G20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</cols>
  <sheetData>
    <row r="1" ht="18" customHeight="1">
      <c r="B1" s="48" t="inlineStr">
        <is>
          <t>کارگاه بسته‌بندی حبوبات  |  پلدختر</t>
        </is>
      </c>
      <c r="C1" s="49" t="n"/>
      <c r="D1" s="49" t="n"/>
      <c r="E1" s="49" t="n"/>
      <c r="F1" s="49" t="n"/>
      <c r="G1" s="49" t="n"/>
    </row>
    <row r="2" ht="28" customHeight="1">
      <c r="B2" s="50" t="inlineStr">
        <is>
          <t>ارزیابی تأمین</t>
        </is>
      </c>
      <c r="C2" s="49" t="n"/>
      <c r="D2" s="49" t="n"/>
      <c r="E2" s="49" t="n"/>
      <c r="F2" s="49" t="n"/>
      <c r="G2" s="49" t="n"/>
    </row>
    <row r="3" ht="18" customHeight="1">
      <c r="B3" s="51" t="inlineStr">
        <is>
          <t>کد فرم: F-08</t>
        </is>
      </c>
      <c r="C3" s="49" t="n"/>
      <c r="D3" s="49" t="n"/>
      <c r="E3" s="51" t="inlineStr">
        <is>
          <t>تاریخ: ____ / ____ / ________</t>
        </is>
      </c>
      <c r="F3" s="49" t="n"/>
      <c r="G3" s="49" t="n"/>
    </row>
    <row r="4" ht="18" customHeight="1">
      <c r="B4" s="52" t="inlineStr">
        <is>
          <t>فرم ۸ — ارزیابی تأمین‌کننده  |  امتیاز ۱ (ضعیف) تا ۱۰ (عالی)</t>
        </is>
      </c>
      <c r="C4" s="49" t="n"/>
      <c r="D4" s="49" t="n"/>
      <c r="E4" s="49" t="n"/>
      <c r="F4" s="49" t="n"/>
      <c r="G4" s="49" t="n"/>
    </row>
    <row r="6" ht="24" customHeight="1">
      <c r="B6" s="48" t="inlineStr">
        <is>
          <t>نام تأمین‌کننده</t>
        </is>
      </c>
      <c r="C6" s="49" t="n"/>
      <c r="D6" s="53" t="inlineStr"/>
      <c r="E6" s="49" t="n"/>
      <c r="F6" s="49" t="n"/>
      <c r="G6" s="49" t="n"/>
    </row>
    <row r="7" ht="24" customHeight="1">
      <c r="B7" s="48" t="inlineStr">
        <is>
          <t>محصول مورد ارزیابی</t>
        </is>
      </c>
      <c r="C7" s="49" t="n"/>
      <c r="D7" s="53" t="inlineStr"/>
      <c r="E7" s="49" t="n"/>
      <c r="F7" s="49" t="n"/>
      <c r="G7" s="49" t="n"/>
    </row>
    <row r="8" ht="24" customHeight="1">
      <c r="B8" s="48" t="inlineStr">
        <is>
          <t>تاریخ بار</t>
        </is>
      </c>
      <c r="C8" s="49" t="n"/>
      <c r="D8" s="53" t="inlineStr"/>
      <c r="E8" s="49" t="n"/>
      <c r="F8" s="49" t="n"/>
      <c r="G8" s="49" t="n"/>
    </row>
    <row r="10" ht="22" customHeight="1">
      <c r="B10" s="48" t="inlineStr">
        <is>
          <t>معیار</t>
        </is>
      </c>
      <c r="C10" s="49" t="n"/>
      <c r="D10" s="48" t="inlineStr">
        <is>
          <t>امتیاز (۱–۱۰)</t>
        </is>
      </c>
      <c r="E10" s="48" t="inlineStr">
        <is>
          <t>توضیح</t>
        </is>
      </c>
      <c r="F10" s="49" t="n"/>
      <c r="G10" s="49" t="n"/>
    </row>
    <row r="11" ht="28" customHeight="1">
      <c r="B11" s="48" t="inlineStr">
        <is>
          <t>قیمت</t>
        </is>
      </c>
      <c r="C11" s="49" t="n"/>
      <c r="D11" s="53" t="inlineStr"/>
      <c r="E11" s="53" t="inlineStr"/>
      <c r="F11" s="49" t="n"/>
      <c r="G11" s="49" t="n"/>
    </row>
    <row r="12" ht="28" customHeight="1">
      <c r="B12" s="48" t="inlineStr">
        <is>
          <t>کیفیت</t>
        </is>
      </c>
      <c r="C12" s="49" t="n"/>
      <c r="D12" s="53" t="inlineStr"/>
      <c r="E12" s="53" t="inlineStr"/>
      <c r="F12" s="49" t="n"/>
      <c r="G12" s="49" t="n"/>
    </row>
    <row r="13" ht="28" customHeight="1">
      <c r="B13" s="48" t="inlineStr">
        <is>
          <t>تحویل به‌موقع</t>
        </is>
      </c>
      <c r="C13" s="49" t="n"/>
      <c r="D13" s="53" t="inlineStr"/>
      <c r="E13" s="53" t="inlineStr"/>
      <c r="F13" s="49" t="n"/>
      <c r="G13" s="49" t="n"/>
    </row>
    <row r="14" ht="28" customHeight="1">
      <c r="B14" s="48" t="inlineStr">
        <is>
          <t>ثبات تأمین</t>
        </is>
      </c>
      <c r="C14" s="49" t="n"/>
      <c r="D14" s="53" t="inlineStr"/>
      <c r="E14" s="53" t="inlineStr"/>
      <c r="F14" s="49" t="n"/>
      <c r="G14" s="49" t="n"/>
    </row>
    <row r="15" ht="28" customHeight="1">
      <c r="B15" s="48" t="inlineStr">
        <is>
          <t>شرایط پرداخت</t>
        </is>
      </c>
      <c r="C15" s="49" t="n"/>
      <c r="D15" s="53" t="inlineStr"/>
      <c r="E15" s="53" t="inlineStr"/>
      <c r="F15" s="49" t="n"/>
      <c r="G15" s="49" t="n"/>
    </row>
    <row r="17" ht="24" customHeight="1">
      <c r="B17" s="48" t="inlineStr">
        <is>
          <t>جمع / میانگین</t>
        </is>
      </c>
      <c r="C17" s="49" t="n"/>
      <c r="D17" s="51" t="inlineStr">
        <is>
          <t>میانگین را در برگه Suppliers وارد کنید</t>
        </is>
      </c>
      <c r="E17" s="49" t="n"/>
      <c r="F17" s="49" t="n"/>
      <c r="G17" s="49" t="n"/>
    </row>
    <row r="19" ht="22" customHeight="1">
      <c r="B19" s="51" t="inlineStr">
        <is>
          <t>تصمیم:   □ ادامه همکاری    □ تذکر    □ قطع همکاری
امضای مدیر: ........................</t>
        </is>
      </c>
      <c r="C19" s="49" t="n"/>
      <c r="D19" s="49" t="n"/>
      <c r="E19" s="49" t="n"/>
      <c r="F19" s="49" t="n"/>
      <c r="G19" s="49" t="n"/>
    </row>
    <row r="20" ht="22" customHeight="1">
      <c r="B20" s="49" t="n"/>
      <c r="C20" s="49" t="n"/>
      <c r="D20" s="49" t="n"/>
      <c r="E20" s="49" t="n"/>
      <c r="F20" s="49" t="n"/>
      <c r="G20" s="49" t="n"/>
    </row>
  </sheetData>
  <mergeCells count="26">
    <mergeCell ref="B2:G2"/>
    <mergeCell ref="E10:G10"/>
    <mergeCell ref="E13:G13"/>
    <mergeCell ref="B7:C7"/>
    <mergeCell ref="D8:G8"/>
    <mergeCell ref="B1:G1"/>
    <mergeCell ref="E15:G15"/>
    <mergeCell ref="B12:C12"/>
    <mergeCell ref="E11:G11"/>
    <mergeCell ref="B11:C11"/>
    <mergeCell ref="B14:C14"/>
    <mergeCell ref="B17:C17"/>
    <mergeCell ref="B8:C8"/>
    <mergeCell ref="B13:C13"/>
    <mergeCell ref="D6:G6"/>
    <mergeCell ref="B10:C10"/>
    <mergeCell ref="B4:G4"/>
    <mergeCell ref="E12:G12"/>
    <mergeCell ref="E3:G3"/>
    <mergeCell ref="B6:C6"/>
    <mergeCell ref="B3:D3"/>
    <mergeCell ref="B19:G20"/>
    <mergeCell ref="D17:G17"/>
    <mergeCell ref="B15:C15"/>
    <mergeCell ref="E14:G14"/>
    <mergeCell ref="D7:G7"/>
  </mergeCells>
  <printOptions horizontalCentered="1"/>
  <pageMargins left="0.5" right="0.5" top="0.5" bottom="0.5" header="0.5" footer="0.5"/>
  <pageSetup orientation="portrait" paperSize="9" fitToHeight="1" fitToWidth="1"/>
  <headerFooter>
    <oddHeader/>
    <oddFooter>&amp;Cکارگاه بسته‌بندی حبوبات پلدختر — پلدختر | با خودکار پر شود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888888"/>
    <outlinePr summaryBelow="1" summaryRight="1"/>
    <pageSetUpPr fitToPage="1"/>
  </sheetPr>
  <dimension ref="A1:W13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3" t="inlineStr">
        <is>
          <t>محصولات</t>
        </is>
      </c>
      <c r="B1" s="3" t="inlineStr">
        <is>
          <t>وزن_بسته</t>
        </is>
      </c>
      <c r="C1" s="3" t="inlineStr">
        <is>
          <t>کیفیت</t>
        </is>
      </c>
      <c r="D1" s="3" t="inlineStr">
        <is>
          <t>وضعیت_تأیید</t>
        </is>
      </c>
      <c r="E1" s="3" t="inlineStr">
        <is>
          <t>نوع_مشتری</t>
        </is>
      </c>
      <c r="F1" s="3" t="inlineStr">
        <is>
          <t>ABC</t>
        </is>
      </c>
      <c r="G1" s="3" t="inlineStr">
        <is>
          <t>وضعیت_مشتری</t>
        </is>
      </c>
      <c r="H1" s="3" t="inlineStr">
        <is>
          <t>نوع_هزینه</t>
        </is>
      </c>
      <c r="I1" s="3" t="inlineStr">
        <is>
          <t>روش_پرداخت</t>
        </is>
      </c>
      <c r="J1" s="3" t="inlineStr">
        <is>
          <t>شهرها</t>
        </is>
      </c>
      <c r="K1" s="3" t="inlineStr">
        <is>
          <t>محل</t>
        </is>
      </c>
      <c r="L1" s="3" t="inlineStr">
        <is>
          <t>نوع_موجودی</t>
        </is>
      </c>
      <c r="M1" s="3" t="inlineStr">
        <is>
          <t>واحد</t>
        </is>
      </c>
      <c r="N1" s="3" t="inlineStr">
        <is>
          <t>سمت</t>
        </is>
      </c>
      <c r="O1" s="3" t="inlineStr">
        <is>
          <t>وضعیت_کار</t>
        </is>
      </c>
      <c r="P1" s="3" t="inlineStr">
        <is>
          <t>مناطق</t>
        </is>
      </c>
      <c r="Q1" s="3" t="inlineStr">
        <is>
          <t>ماه_نام</t>
        </is>
      </c>
      <c r="R1" s="3" t="inlineStr">
        <is>
          <t>کارکنان</t>
        </is>
      </c>
      <c r="S1" s="3" t="inlineStr">
        <is>
          <t>شماره_ماه</t>
        </is>
      </c>
      <c r="U1" s="3" t="inlineStr">
        <is>
          <t>محصول</t>
        </is>
      </c>
      <c r="V1" s="3" t="inlineStr">
        <is>
          <t>فروش_تومان</t>
        </is>
      </c>
      <c r="W1" s="3" t="inlineStr">
        <is>
          <t>تولید_کیلو</t>
        </is>
      </c>
    </row>
    <row r="2">
      <c r="A2" s="5" t="inlineStr">
        <is>
          <t>لوبیا چیتی</t>
        </is>
      </c>
      <c r="B2" s="5" t="n">
        <v>0.4</v>
      </c>
      <c r="C2" s="5" t="inlineStr">
        <is>
          <t>عالی</t>
        </is>
      </c>
      <c r="D2" s="5" t="inlineStr">
        <is>
          <t>تأیید شده</t>
        </is>
      </c>
      <c r="E2" s="5" t="inlineStr">
        <is>
          <t>عمده‌فروش</t>
        </is>
      </c>
      <c r="F2" s="5" t="inlineStr">
        <is>
          <t>A</t>
        </is>
      </c>
      <c r="G2" s="5" t="inlineStr">
        <is>
          <t>فعال</t>
        </is>
      </c>
      <c r="H2" s="5" t="inlineStr">
        <is>
          <t>حقوق</t>
        </is>
      </c>
      <c r="I2" s="5" t="inlineStr">
        <is>
          <t>نقد</t>
        </is>
      </c>
      <c r="J2" s="5" t="inlineStr">
        <is>
          <t>پلدختر</t>
        </is>
      </c>
      <c r="K2" s="5" t="inlineStr">
        <is>
          <t>انبار مواد اولیه</t>
        </is>
      </c>
      <c r="L2" s="5" t="inlineStr">
        <is>
          <t>مواد اولیه</t>
        </is>
      </c>
      <c r="M2" s="5" t="inlineStr">
        <is>
          <t>کیلوگرم</t>
        </is>
      </c>
      <c r="N2" s="5" t="inlineStr">
        <is>
          <t>مدیر/مالک</t>
        </is>
      </c>
      <c r="O2" s="5" t="inlineStr">
        <is>
          <t>فعال</t>
        </is>
      </c>
      <c r="P2" s="5" t="inlineStr">
        <is>
          <t>پلدختر شهر</t>
        </is>
      </c>
      <c r="Q2" s="5" t="inlineStr">
        <is>
          <t>فروردین</t>
        </is>
      </c>
      <c r="R2" s="5" t="inlineStr">
        <is>
          <t>مدیر کارگاه</t>
        </is>
      </c>
      <c r="S2" s="5" t="n">
        <v>1</v>
      </c>
      <c r="U2" s="5" t="inlineStr">
        <is>
          <t>لوبیا چیتی</t>
        </is>
      </c>
      <c r="V2" s="13">
        <f>SUMIFS(Sales!$L$2:$L$151,Sales!$E$2:$E$151,U2,Sales!$P$2:$P$151,تنظیمات!$B$2,Sales!$Q$2:$Q$151,تنظیمات!$B$3)</f>
        <v/>
      </c>
      <c r="W2" s="17">
        <f>SUMIFS(Production!$E$2:$E$151,Production!$C$2:$C$151,U2,Production!$M$2:$M$151,تنظیمات!$B$2,Production!$N$2:$N$151,تنظیمات!$B$3)</f>
        <v/>
      </c>
    </row>
    <row r="3">
      <c r="A3" s="5" t="inlineStr">
        <is>
          <t>لوبیا قرمز</t>
        </is>
      </c>
      <c r="B3" s="5" t="n">
        <v>0.9</v>
      </c>
      <c r="C3" s="5" t="inlineStr">
        <is>
          <t>خوب</t>
        </is>
      </c>
      <c r="D3" s="5" t="inlineStr">
        <is>
          <t>در انتظار</t>
        </is>
      </c>
      <c r="E3" s="5" t="inlineStr">
        <is>
          <t>خرده‌فروش</t>
        </is>
      </c>
      <c r="F3" s="5" t="inlineStr">
        <is>
          <t>B</t>
        </is>
      </c>
      <c r="G3" s="5" t="inlineStr">
        <is>
          <t>غیرفعال</t>
        </is>
      </c>
      <c r="H3" s="5" t="inlineStr">
        <is>
          <t>اجاره</t>
        </is>
      </c>
      <c r="I3" s="5" t="inlineStr">
        <is>
          <t>کارت</t>
        </is>
      </c>
      <c r="J3" s="5" t="inlineStr">
        <is>
          <t>خرم‌آباد</t>
        </is>
      </c>
      <c r="K3" s="5" t="inlineStr">
        <is>
          <t>سالن تولید</t>
        </is>
      </c>
      <c r="L3" s="5" t="inlineStr">
        <is>
          <t>محصول نهایی</t>
        </is>
      </c>
      <c r="M3" s="5" t="inlineStr">
        <is>
          <t>بسته</t>
        </is>
      </c>
      <c r="N3" s="5" t="inlineStr">
        <is>
          <t>مسئول انبار</t>
        </is>
      </c>
      <c r="O3" s="5" t="inlineStr">
        <is>
          <t>قطع همکاری</t>
        </is>
      </c>
      <c r="P3" s="5" t="inlineStr">
        <is>
          <t>پلدختر روستا</t>
        </is>
      </c>
      <c r="Q3" s="5" t="inlineStr">
        <is>
          <t>اردیبهشت</t>
        </is>
      </c>
      <c r="R3" s="5" t="inlineStr">
        <is>
          <t>پدر مدیر</t>
        </is>
      </c>
      <c r="S3" s="5" t="n">
        <v>2</v>
      </c>
      <c r="U3" s="5" t="inlineStr">
        <is>
          <t>لوبیا قرمز</t>
        </is>
      </c>
      <c r="V3" s="13">
        <f>SUMIFS(Sales!$L$2:$L$151,Sales!$E$2:$E$151,U3,Sales!$P$2:$P$151,تنظیمات!$B$2,Sales!$Q$2:$Q$151,تنظیمات!$B$3)</f>
        <v/>
      </c>
      <c r="W3" s="17">
        <f>SUMIFS(Production!$E$2:$E$151,Production!$C$2:$C$151,U3,Production!$M$2:$M$151,تنظیمات!$B$2,Production!$N$2:$N$151,تنظیمات!$B$3)</f>
        <v/>
      </c>
    </row>
    <row r="4">
      <c r="A4" s="5" t="inlineStr">
        <is>
          <t>لوبیا سفید</t>
        </is>
      </c>
      <c r="B4" s="5" t="n">
        <v>10</v>
      </c>
      <c r="C4" s="5" t="inlineStr">
        <is>
          <t>متوسط</t>
        </is>
      </c>
      <c r="D4" s="5" t="inlineStr">
        <is>
          <t>رد شده</t>
        </is>
      </c>
      <c r="E4" s="5" t="inlineStr">
        <is>
          <t>سوپرمارکت</t>
        </is>
      </c>
      <c r="F4" s="5" t="inlineStr">
        <is>
          <t>C</t>
        </is>
      </c>
      <c r="G4" s="5" t="inlineStr">
        <is>
          <t>بالقوه</t>
        </is>
      </c>
      <c r="H4" s="5" t="inlineStr">
        <is>
          <t>برق</t>
        </is>
      </c>
      <c r="I4" s="5" t="inlineStr">
        <is>
          <t>چک</t>
        </is>
      </c>
      <c r="J4" s="5" t="inlineStr">
        <is>
          <t>کوهدشت</t>
        </is>
      </c>
      <c r="K4" s="5" t="inlineStr">
        <is>
          <t>انبار محصول نهایی</t>
        </is>
      </c>
      <c r="N4" s="5" t="inlineStr">
        <is>
          <t>نیروی تولید</t>
        </is>
      </c>
      <c r="P4" s="5" t="inlineStr">
        <is>
          <t>خرم‌آباد</t>
        </is>
      </c>
      <c r="Q4" s="5" t="inlineStr">
        <is>
          <t>خرداد</t>
        </is>
      </c>
      <c r="R4" s="5" t="inlineStr">
        <is>
          <t>مسئول بسته‌بندی</t>
        </is>
      </c>
      <c r="S4" s="5" t="n">
        <v>3</v>
      </c>
      <c r="U4" s="5" t="inlineStr">
        <is>
          <t>لوبیا سفید</t>
        </is>
      </c>
      <c r="V4" s="13">
        <f>SUMIFS(Sales!$L$2:$L$151,Sales!$E$2:$E$151,U4,Sales!$P$2:$P$151,تنظیمات!$B$2,Sales!$Q$2:$Q$151,تنظیمات!$B$3)</f>
        <v/>
      </c>
      <c r="W4" s="17">
        <f>SUMIFS(Production!$E$2:$E$151,Production!$C$2:$C$151,U4,Production!$M$2:$M$151,تنظیمات!$B$2,Production!$N$2:$N$151,تنظیمات!$B$3)</f>
        <v/>
      </c>
    </row>
    <row r="5">
      <c r="A5" s="5" t="inlineStr">
        <is>
          <t>عدس</t>
        </is>
      </c>
      <c r="C5" s="5" t="inlineStr">
        <is>
          <t>ضعیف</t>
        </is>
      </c>
      <c r="E5" s="5" t="inlineStr">
        <is>
          <t>رستوران</t>
        </is>
      </c>
      <c r="H5" s="5" t="inlineStr">
        <is>
          <t>گاز</t>
        </is>
      </c>
      <c r="I5" s="5" t="inlineStr">
        <is>
          <t>نسیه</t>
        </is>
      </c>
      <c r="J5" s="5" t="inlineStr">
        <is>
          <t>رومشکان</t>
        </is>
      </c>
      <c r="K5" s="5" t="inlineStr">
        <is>
          <t>ماشین پخش</t>
        </is>
      </c>
      <c r="N5" s="5" t="inlineStr">
        <is>
          <t>ویزیتور</t>
        </is>
      </c>
      <c r="P5" s="5" t="inlineStr">
        <is>
          <t>کوهدشت</t>
        </is>
      </c>
      <c r="Q5" s="5" t="inlineStr">
        <is>
          <t>تیر</t>
        </is>
      </c>
      <c r="R5" s="5" t="inlineStr">
        <is>
          <t>ویزیتور پخش</t>
        </is>
      </c>
      <c r="S5" s="5" t="n">
        <v>4</v>
      </c>
      <c r="U5" s="5" t="inlineStr">
        <is>
          <t>عدس</t>
        </is>
      </c>
      <c r="V5" s="13">
        <f>SUMIFS(Sales!$L$2:$L$151,Sales!$E$2:$E$151,U5,Sales!$P$2:$P$151,تنظیمات!$B$2,Sales!$Q$2:$Q$151,تنظیمات!$B$3)</f>
        <v/>
      </c>
      <c r="W5" s="17">
        <f>SUMIFS(Production!$E$2:$E$151,Production!$C$2:$C$151,U5,Production!$M$2:$M$151,تنظیمات!$B$2,Production!$N$2:$N$151,تنظیمات!$B$3)</f>
        <v/>
      </c>
    </row>
    <row r="6">
      <c r="A6" s="5" t="inlineStr">
        <is>
          <t>نخود</t>
        </is>
      </c>
      <c r="E6" s="5" t="inlineStr">
        <is>
          <t>مصرف‌کننده</t>
        </is>
      </c>
      <c r="H6" s="5" t="inlineStr">
        <is>
          <t>سوخت</t>
        </is>
      </c>
      <c r="J6" s="5" t="inlineStr">
        <is>
          <t>معمولان</t>
        </is>
      </c>
      <c r="N6" s="5" t="inlineStr">
        <is>
          <t>کمک تولید</t>
        </is>
      </c>
      <c r="P6" s="5" t="inlineStr">
        <is>
          <t>رومشکان</t>
        </is>
      </c>
      <c r="Q6" s="5" t="inlineStr">
        <is>
          <t>مرداد</t>
        </is>
      </c>
      <c r="S6" s="5" t="n">
        <v>5</v>
      </c>
      <c r="U6" s="5" t="inlineStr">
        <is>
          <t>نخود</t>
        </is>
      </c>
      <c r="V6" s="13">
        <f>SUMIFS(Sales!$L$2:$L$151,Sales!$E$2:$E$151,U6,Sales!$P$2:$P$151,تنظیمات!$B$2,Sales!$Q$2:$Q$151,تنظیمات!$B$3)</f>
        <v/>
      </c>
      <c r="W6" s="17">
        <f>SUMIFS(Production!$E$2:$E$151,Production!$C$2:$C$151,U6,Production!$M$2:$M$151,تنظیمات!$B$2,Production!$N$2:$N$151,تنظیمات!$B$3)</f>
        <v/>
      </c>
    </row>
    <row r="7">
      <c r="A7" s="5" t="inlineStr">
        <is>
          <t>لپه</t>
        </is>
      </c>
      <c r="H7" s="5" t="inlineStr">
        <is>
          <t>بسته‌بندی</t>
        </is>
      </c>
      <c r="J7" s="5" t="inlineStr">
        <is>
          <t>اندیمشک</t>
        </is>
      </c>
      <c r="N7" s="5" t="inlineStr">
        <is>
          <t>حسابدار</t>
        </is>
      </c>
      <c r="P7" s="5" t="inlineStr">
        <is>
          <t>معمولان</t>
        </is>
      </c>
      <c r="Q7" s="5" t="inlineStr">
        <is>
          <t>شهریور</t>
        </is>
      </c>
      <c r="S7" s="5" t="n">
        <v>6</v>
      </c>
      <c r="U7" s="5" t="inlineStr">
        <is>
          <t>لپه</t>
        </is>
      </c>
      <c r="V7" s="13">
        <f>SUMIFS(Sales!$L$2:$L$151,Sales!$E$2:$E$151,U7,Sales!$P$2:$P$151,تنظیمات!$B$2,Sales!$Q$2:$Q$151,تنظیمات!$B$3)</f>
        <v/>
      </c>
      <c r="W7" s="17">
        <f>SUMIFS(Production!$E$2:$E$151,Production!$C$2:$C$151,U7,Production!$M$2:$M$151,تنظیمات!$B$2,Production!$N$2:$N$151,تنظیمات!$B$3)</f>
        <v/>
      </c>
    </row>
    <row r="8">
      <c r="A8" s="5" t="inlineStr">
        <is>
          <t>ماش</t>
        </is>
      </c>
      <c r="H8" s="5" t="inlineStr">
        <is>
          <t>تعمیرات</t>
        </is>
      </c>
      <c r="J8" s="5" t="inlineStr">
        <is>
          <t>دزفول</t>
        </is>
      </c>
      <c r="Q8" s="5" t="inlineStr">
        <is>
          <t>مهر</t>
        </is>
      </c>
      <c r="S8" s="5" t="n">
        <v>7</v>
      </c>
      <c r="U8" s="5" t="inlineStr">
        <is>
          <t>ماش</t>
        </is>
      </c>
      <c r="V8" s="13">
        <f>SUMIFS(Sales!$L$2:$L$151,Sales!$E$2:$E$151,U8,Sales!$P$2:$P$151,تنظیمات!$B$2,Sales!$Q$2:$Q$151,تنظیمات!$B$3)</f>
        <v/>
      </c>
      <c r="W8" s="17">
        <f>SUMIFS(Production!$E$2:$E$151,Production!$C$2:$C$151,U8,Production!$M$2:$M$151,تنظیمات!$B$2,Production!$N$2:$N$151,تنظیمات!$B$3)</f>
        <v/>
      </c>
    </row>
    <row r="9">
      <c r="H9" s="5" t="inlineStr">
        <is>
          <t>حمل</t>
        </is>
      </c>
      <c r="J9" s="5" t="inlineStr">
        <is>
          <t>بروجرد</t>
        </is>
      </c>
      <c r="Q9" s="5" t="inlineStr">
        <is>
          <t>آبان</t>
        </is>
      </c>
      <c r="S9" s="5" t="n">
        <v>8</v>
      </c>
    </row>
    <row r="10">
      <c r="H10" s="5" t="inlineStr">
        <is>
          <t>آب</t>
        </is>
      </c>
      <c r="Q10" s="5" t="inlineStr">
        <is>
          <t>آذر</t>
        </is>
      </c>
      <c r="S10" s="5" t="n">
        <v>9</v>
      </c>
    </row>
    <row r="11">
      <c r="H11" s="5" t="inlineStr">
        <is>
          <t>متفرقه</t>
        </is>
      </c>
      <c r="Q11" s="5" t="inlineStr">
        <is>
          <t>دی</t>
        </is>
      </c>
      <c r="S11" s="5" t="n">
        <v>10</v>
      </c>
    </row>
    <row r="12">
      <c r="Q12" s="5" t="inlineStr">
        <is>
          <t>بهمن</t>
        </is>
      </c>
      <c r="S12" s="5" t="n">
        <v>11</v>
      </c>
    </row>
    <row r="13">
      <c r="Q13" s="5" t="inlineStr">
        <is>
          <t>اسفند</t>
        </is>
      </c>
      <c r="S13" s="5" t="n">
        <v>12</v>
      </c>
    </row>
  </sheetData>
  <pageMargins left="0.4" right="0.4" top="0.5" bottom="0.5" header="0.2" footer="0.2"/>
  <pageSetup orientation="landscape" paperSize="9" fitToHeight="1" fitToWidth="1"/>
  <headerFooter>
    <oddHeader/>
    <oddFooter>&amp;L&amp;P / &amp;N&amp;Rکارگاه بسته‌بندی حبوبات پلدختر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سامانه کارگاه پلدختر</dc:creator>
  <dc:title>سامانه مدیریت کارگاه بسته‌بندی حبوبات پلدختر</dc:title>
  <dc:description>ثبت اطلاعات → KPI → داشبورد → اقدام اصلاحی</dc:description>
  <dc:subject>حبوبات پلدختر</dc:subject>
  <dcterms:created xsi:type="dcterms:W3CDTF">2026-09-09T16:48:00Z</dcterms:created>
  <dcterms:modified xsi:type="dcterms:W3CDTF">2026-09-09T16:48:00Z</dcterms:modified>
</cp:coreProperties>
</file>